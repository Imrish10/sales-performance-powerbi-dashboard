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Raw Data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<sst xmlns="http://schemas.openxmlformats.org/spreadsheetml/2006/main" count="412" uniqueCount="107">
  <si>
    <t>Order ID</t>
  </si>
  <si>
    <t>Date</t>
  </si>
  <si>
    <t>City</t>
  </si>
  <si>
    <t>Product</t>
  </si>
  <si>
    <t>Category</t>
  </si>
  <si>
    <t>Quantity</t>
  </si>
  <si>
    <t>Price</t>
  </si>
  <si>
    <t>Profit</t>
  </si>
  <si>
    <t>Total Sales</t>
  </si>
  <si>
    <t>Month</t>
  </si>
  <si>
    <t>25-06-2024</t>
  </si>
  <si>
    <t>Delhi</t>
  </si>
  <si>
    <t>Shoes</t>
  </si>
  <si>
    <t>Fashion</t>
  </si>
  <si>
    <t>22-03-2024</t>
  </si>
  <si>
    <t>Table</t>
  </si>
  <si>
    <t>Home</t>
  </si>
  <si>
    <t>20-06-2024</t>
  </si>
  <si>
    <t>09-03-2024</t>
  </si>
  <si>
    <t>Bhopal</t>
  </si>
  <si>
    <t>T-shirt</t>
  </si>
  <si>
    <t>09-02-2024</t>
  </si>
  <si>
    <t>Mumbai</t>
  </si>
  <si>
    <t>12-04-2024</t>
  </si>
  <si>
    <t>Phone</t>
  </si>
  <si>
    <t>Electronics</t>
  </si>
  <si>
    <t>01-01-2024</t>
  </si>
  <si>
    <t>Laptop</t>
  </si>
  <si>
    <t>17-06-2024</t>
  </si>
  <si>
    <t>Mixer</t>
  </si>
  <si>
    <t>03-01-2024</t>
  </si>
  <si>
    <t>Indore</t>
  </si>
  <si>
    <t>27-01-2024</t>
  </si>
  <si>
    <t>Bangalore</t>
  </si>
  <si>
    <t>15-04-2024</t>
  </si>
  <si>
    <t>Pune</t>
  </si>
  <si>
    <t>16-01-2024</t>
  </si>
  <si>
    <t>Jeans</t>
  </si>
  <si>
    <t>29-02-2024</t>
  </si>
  <si>
    <t>28-05-2024</t>
  </si>
  <si>
    <t>18-05-2024</t>
  </si>
  <si>
    <t>11-03-2024</t>
  </si>
  <si>
    <t>31-05-2024</t>
  </si>
  <si>
    <t>31-03-2024</t>
  </si>
  <si>
    <t>07-05-2024</t>
  </si>
  <si>
    <t>16-02-2024</t>
  </si>
  <si>
    <t>28-04-2024</t>
  </si>
  <si>
    <t>Headphones</t>
  </si>
  <si>
    <t>18-06-2024</t>
  </si>
  <si>
    <t>06-04-2024</t>
  </si>
  <si>
    <t>10-05-2024</t>
  </si>
  <si>
    <t>Chair</t>
  </si>
  <si>
    <t>22-06-2024</t>
  </si>
  <si>
    <t>12-03-2024</t>
  </si>
  <si>
    <t>21-03-2024</t>
  </si>
  <si>
    <t>01-03-2024</t>
  </si>
  <si>
    <t>06-06-2024</t>
  </si>
  <si>
    <t>02-06-2024</t>
  </si>
  <si>
    <t>12-02-2024</t>
  </si>
  <si>
    <t>07-06-2024</t>
  </si>
  <si>
    <t>08-05-2024</t>
  </si>
  <si>
    <t>05-02-2024</t>
  </si>
  <si>
    <t>15-05-2024</t>
  </si>
  <si>
    <t>27-05-2024</t>
  </si>
  <si>
    <t>30-04-2024</t>
  </si>
  <si>
    <t>27-06-2024</t>
  </si>
  <si>
    <t>15-01-2024</t>
  </si>
  <si>
    <t>11-01-2024</t>
  </si>
  <si>
    <t>19-06-2024</t>
  </si>
  <si>
    <t>19-02-2024</t>
  </si>
  <si>
    <t>11-05-2024</t>
  </si>
  <si>
    <t>15-06-2024</t>
  </si>
  <si>
    <t>07-01-2024</t>
  </si>
  <si>
    <t>06-05-2024</t>
  </si>
  <si>
    <t>26-01-2024</t>
  </si>
  <si>
    <t>17-02-2024</t>
  </si>
  <si>
    <t>13-03-2024</t>
  </si>
  <si>
    <t>29-01-2024</t>
  </si>
  <si>
    <t>02-04-2024</t>
  </si>
  <si>
    <t>25-03-2024</t>
  </si>
  <si>
    <t>07-02-2024</t>
  </si>
  <si>
    <t>19-04-2024</t>
  </si>
  <si>
    <t>24-06-2024</t>
  </si>
  <si>
    <t>14-03-2024</t>
  </si>
  <si>
    <t>23-05-2024</t>
  </si>
  <si>
    <t>07-04-2024</t>
  </si>
  <si>
    <t>21-05-2024</t>
  </si>
  <si>
    <t>21-01-2024</t>
  </si>
  <si>
    <t>10-04-2024</t>
  </si>
  <si>
    <t>18-01-2024</t>
  </si>
  <si>
    <t>14-05-2024</t>
  </si>
  <si>
    <t>05-01-2024</t>
  </si>
  <si>
    <t>16-03-2024</t>
  </si>
  <si>
    <t>12-06-2024</t>
  </si>
  <si>
    <t>18-03-2024</t>
  </si>
  <si>
    <t>01-02-2024</t>
  </si>
  <si>
    <t>10-02-2024</t>
  </si>
  <si>
    <t>30-05-2024</t>
  </si>
  <si>
    <t>08-04-2024</t>
  </si>
  <si>
    <t>25-02-2024</t>
  </si>
  <si>
    <t>18-04-2024</t>
  </si>
  <si>
    <t>09-04-2024</t>
  </si>
  <si>
    <t>11-06-2024</t>
  </si>
  <si>
    <t>28-01-2024</t>
  </si>
  <si>
    <t>17-04-2024</t>
  </si>
  <si>
    <t>Year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</si>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</sst>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_data" displayName="Sales_data" ref="A1:L101" totalsRowShown="0">
  <autoFilter ref="A1:L101"/>
  <tableColumns count="12">
    <tableColumn id="1" name="Order ID"/>
    <tableColumn id="2" name="Date"/>
    <tableColumn id="3" name="City"/>
    <tableColumn id="4" name="Product"/>
    <tableColumn id="5" name="Category"/>
    <tableColumn id="6" name="Quantity"/>
    <tableColumn id="7" name="Price"/>
    <tableColumn id="8" name="Profit"/>
    <tableColumn id="9" name="Total Sales">
      <calculatedColumnFormula>F2*G2</calculatedColumnFormula>
    </tableColumn>
    <tableColumn id="10" name="Month">
      <calculatedColumnFormula>TEXT(B2,"mmm")</calculatedColumnFormula>
    </tableColumn>
    <tableColumn id="11" name="Year" dataDxfId="0">
      <calculatedColumnFormula>YEAR(Sales_data[Date])</calculatedColumnFormula>
    </tableColumn>
    <tableColumn id="12" name="Profit Margin" dataCellStyle="Percent">
      <calculatedColumnFormula>Sales_data[Profit]/Sales_data[Total Sales]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topLeftCell="C1" workbookViewId="0">
      <selection activeCell="L2" sqref="L2"/>
    </sheetView>
  </sheetViews>
  <sheetFormatPr defaultRowHeight="14.5" x14ac:dyDescent="0.35"/>
  <cols>
    <col min="1" max="10" width="15" customWidth="1"/>
    <col min="12" max="12" width="14.1796875" style="1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105</v>
      </c>
      <c r="L1" s="1" t="s">
        <v>106</v>
      </c>
    </row>
    <row r="2" spans="1:12" x14ac:dyDescent="0.35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>
        <v>2500</v>
      </c>
      <c r="H2">
        <v>500</v>
      </c>
      <c r="I2">
        <f t="shared" ref="I2:I33" si="0">F2*G2</f>
        <v>10000</v>
      </c>
      <c r="J2" t="str">
        <f t="shared" ref="J2:J33" si="1">TEXT(B2,"mmm")</f>
        <v>Jun</v>
      </c>
      <c r="K2">
        <f>YEAR(Sales_data[Date])</f>
        <v>2024</v>
      </c>
      <c r="L2" s="1">
        <f>Sales_data[Profit]/Sales_data[Total Sales]</f>
        <v>0.05</v>
      </c>
    </row>
    <row r="3" spans="1:12" x14ac:dyDescent="0.35">
      <c r="A3">
        <v>1002</v>
      </c>
      <c r="B3" t="s">
        <v>14</v>
      </c>
      <c r="C3" t="s">
        <v>11</v>
      </c>
      <c r="D3" t="s">
        <v>15</v>
      </c>
      <c r="E3" t="s">
        <v>16</v>
      </c>
      <c r="F3">
        <v>1</v>
      </c>
      <c r="G3">
        <v>5000</v>
      </c>
      <c r="H3">
        <v>1000</v>
      </c>
      <c r="I3">
        <f t="shared" si="0"/>
        <v>5000</v>
      </c>
      <c r="J3" t="str">
        <f t="shared" si="1"/>
        <v>Mar</v>
      </c>
      <c r="K3">
        <f>YEAR(Sales_data[Date])</f>
        <v>2024</v>
      </c>
      <c r="L3" s="1">
        <f>Sales_data[Profit]/Sales_data[Total Sales]</f>
        <v>0.2</v>
      </c>
    </row>
    <row r="4" spans="1:12" x14ac:dyDescent="0.35">
      <c r="A4">
        <v>1003</v>
      </c>
      <c r="B4" t="s">
        <v>17</v>
      </c>
      <c r="C4" t="s">
        <v>11</v>
      </c>
      <c r="D4" t="s">
        <v>15</v>
      </c>
      <c r="E4" t="s">
        <v>16</v>
      </c>
      <c r="F4">
        <v>1</v>
      </c>
      <c r="G4">
        <v>5000</v>
      </c>
      <c r="H4">
        <v>1000</v>
      </c>
      <c r="I4">
        <f t="shared" si="0"/>
        <v>5000</v>
      </c>
      <c r="J4" t="str">
        <f t="shared" si="1"/>
        <v>Jun</v>
      </c>
      <c r="K4">
        <f>YEAR(Sales_data[Date])</f>
        <v>2024</v>
      </c>
      <c r="L4" s="1">
        <f>Sales_data[Profit]/Sales_data[Total Sales]</f>
        <v>0.2</v>
      </c>
    </row>
    <row r="5" spans="1:12" x14ac:dyDescent="0.35">
      <c r="A5">
        <v>1004</v>
      </c>
      <c r="B5" t="s">
        <v>18</v>
      </c>
      <c r="C5" t="s">
        <v>19</v>
      </c>
      <c r="D5" t="s">
        <v>20</v>
      </c>
      <c r="E5" t="s">
        <v>13</v>
      </c>
      <c r="F5">
        <v>4</v>
      </c>
      <c r="G5">
        <v>800</v>
      </c>
      <c r="H5">
        <v>150</v>
      </c>
      <c r="I5">
        <f t="shared" si="0"/>
        <v>3200</v>
      </c>
      <c r="J5" t="str">
        <f t="shared" si="1"/>
        <v>Mar</v>
      </c>
      <c r="K5">
        <f>YEAR(Sales_data[Date])</f>
        <v>2024</v>
      </c>
      <c r="L5" s="1">
        <f>Sales_data[Profit]/Sales_data[Total Sales]</f>
        <v>4.6875E-2</v>
      </c>
    </row>
    <row r="6" spans="1:12" x14ac:dyDescent="0.35">
      <c r="A6">
        <v>1005</v>
      </c>
      <c r="B6" t="s">
        <v>21</v>
      </c>
      <c r="C6" t="s">
        <v>22</v>
      </c>
      <c r="D6" t="s">
        <v>15</v>
      </c>
      <c r="E6" t="s">
        <v>16</v>
      </c>
      <c r="F6">
        <v>1</v>
      </c>
      <c r="G6">
        <v>5000</v>
      </c>
      <c r="H6">
        <v>1000</v>
      </c>
      <c r="I6">
        <f t="shared" si="0"/>
        <v>5000</v>
      </c>
      <c r="J6" t="str">
        <f t="shared" si="1"/>
        <v>Feb</v>
      </c>
      <c r="K6">
        <f>YEAR(Sales_data[Date])</f>
        <v>2024</v>
      </c>
      <c r="L6" s="1">
        <f>Sales_data[Profit]/Sales_data[Total Sales]</f>
        <v>0.2</v>
      </c>
    </row>
    <row r="7" spans="1:12" x14ac:dyDescent="0.35">
      <c r="A7">
        <v>1006</v>
      </c>
      <c r="B7" t="s">
        <v>23</v>
      </c>
      <c r="C7" t="s">
        <v>19</v>
      </c>
      <c r="D7" t="s">
        <v>24</v>
      </c>
      <c r="E7" t="s">
        <v>25</v>
      </c>
      <c r="F7">
        <v>5</v>
      </c>
      <c r="G7">
        <v>20000</v>
      </c>
      <c r="H7">
        <v>3000</v>
      </c>
      <c r="I7">
        <f t="shared" si="0"/>
        <v>100000</v>
      </c>
      <c r="J7" t="str">
        <f t="shared" si="1"/>
        <v>Apr</v>
      </c>
      <c r="K7">
        <f>YEAR(Sales_data[Date])</f>
        <v>2024</v>
      </c>
      <c r="L7" s="1">
        <f>Sales_data[Profit]/Sales_data[Total Sales]</f>
        <v>0.03</v>
      </c>
    </row>
    <row r="8" spans="1:12" x14ac:dyDescent="0.35">
      <c r="A8">
        <v>1007</v>
      </c>
      <c r="B8" t="s">
        <v>26</v>
      </c>
      <c r="C8" t="s">
        <v>19</v>
      </c>
      <c r="D8" t="s">
        <v>27</v>
      </c>
      <c r="E8" t="s">
        <v>25</v>
      </c>
      <c r="F8">
        <v>1</v>
      </c>
      <c r="G8">
        <v>55000</v>
      </c>
      <c r="H8">
        <v>8000</v>
      </c>
      <c r="I8">
        <f t="shared" si="0"/>
        <v>55000</v>
      </c>
      <c r="J8" t="str">
        <f t="shared" si="1"/>
        <v>Jan</v>
      </c>
      <c r="K8">
        <f>YEAR(Sales_data[Date])</f>
        <v>2024</v>
      </c>
      <c r="L8" s="1">
        <f>Sales_data[Profit]/Sales_data[Total Sales]</f>
        <v>0.14545454545454545</v>
      </c>
    </row>
    <row r="9" spans="1:12" x14ac:dyDescent="0.35">
      <c r="A9">
        <v>1008</v>
      </c>
      <c r="B9" t="s">
        <v>28</v>
      </c>
      <c r="C9" t="s">
        <v>11</v>
      </c>
      <c r="D9" t="s">
        <v>29</v>
      </c>
      <c r="E9" t="s">
        <v>16</v>
      </c>
      <c r="F9">
        <v>2</v>
      </c>
      <c r="G9">
        <v>3000</v>
      </c>
      <c r="H9">
        <v>600</v>
      </c>
      <c r="I9">
        <f t="shared" si="0"/>
        <v>6000</v>
      </c>
      <c r="J9" t="str">
        <f t="shared" si="1"/>
        <v>Jun</v>
      </c>
      <c r="K9">
        <f>YEAR(Sales_data[Date])</f>
        <v>2024</v>
      </c>
      <c r="L9" s="1">
        <f>Sales_data[Profit]/Sales_data[Total Sales]</f>
        <v>0.1</v>
      </c>
    </row>
    <row r="10" spans="1:12" x14ac:dyDescent="0.35">
      <c r="A10">
        <v>1009</v>
      </c>
      <c r="B10" t="s">
        <v>30</v>
      </c>
      <c r="C10" t="s">
        <v>31</v>
      </c>
      <c r="D10" t="s">
        <v>12</v>
      </c>
      <c r="E10" t="s">
        <v>13</v>
      </c>
      <c r="F10">
        <v>2</v>
      </c>
      <c r="G10">
        <v>2500</v>
      </c>
      <c r="H10">
        <v>500</v>
      </c>
      <c r="I10">
        <f t="shared" si="0"/>
        <v>5000</v>
      </c>
      <c r="J10" t="str">
        <f t="shared" si="1"/>
        <v>Jan</v>
      </c>
      <c r="K10">
        <f>YEAR(Sales_data[Date])</f>
        <v>2024</v>
      </c>
      <c r="L10" s="1">
        <f>Sales_data[Profit]/Sales_data[Total Sales]</f>
        <v>0.1</v>
      </c>
    </row>
    <row r="11" spans="1:12" x14ac:dyDescent="0.35">
      <c r="A11">
        <v>1010</v>
      </c>
      <c r="B11" t="s">
        <v>32</v>
      </c>
      <c r="C11" t="s">
        <v>33</v>
      </c>
      <c r="D11" t="s">
        <v>27</v>
      </c>
      <c r="E11" t="s">
        <v>25</v>
      </c>
      <c r="F11">
        <v>5</v>
      </c>
      <c r="G11">
        <v>55000</v>
      </c>
      <c r="H11">
        <v>8000</v>
      </c>
      <c r="I11">
        <f t="shared" si="0"/>
        <v>275000</v>
      </c>
      <c r="J11" t="str">
        <f t="shared" si="1"/>
        <v>Jan</v>
      </c>
      <c r="K11">
        <f>YEAR(Sales_data[Date])</f>
        <v>2024</v>
      </c>
      <c r="L11" s="1">
        <f>Sales_data[Profit]/Sales_data[Total Sales]</f>
        <v>2.9090909090909091E-2</v>
      </c>
    </row>
    <row r="12" spans="1:12" x14ac:dyDescent="0.35">
      <c r="A12">
        <v>1011</v>
      </c>
      <c r="B12" t="s">
        <v>34</v>
      </c>
      <c r="C12" t="s">
        <v>35</v>
      </c>
      <c r="D12" t="s">
        <v>12</v>
      </c>
      <c r="E12" t="s">
        <v>13</v>
      </c>
      <c r="F12">
        <v>2</v>
      </c>
      <c r="G12">
        <v>2500</v>
      </c>
      <c r="H12">
        <v>500</v>
      </c>
      <c r="I12">
        <f t="shared" si="0"/>
        <v>5000</v>
      </c>
      <c r="J12" t="str">
        <f t="shared" si="1"/>
        <v>Apr</v>
      </c>
      <c r="K12">
        <f>YEAR(Sales_data[Date])</f>
        <v>2024</v>
      </c>
      <c r="L12" s="1">
        <f>Sales_data[Profit]/Sales_data[Total Sales]</f>
        <v>0.1</v>
      </c>
    </row>
    <row r="13" spans="1:12" x14ac:dyDescent="0.35">
      <c r="A13">
        <v>1012</v>
      </c>
      <c r="B13" t="s">
        <v>18</v>
      </c>
      <c r="C13" t="s">
        <v>11</v>
      </c>
      <c r="D13" t="s">
        <v>12</v>
      </c>
      <c r="E13" t="s">
        <v>13</v>
      </c>
      <c r="F13">
        <v>3</v>
      </c>
      <c r="G13">
        <v>2500</v>
      </c>
      <c r="H13">
        <v>500</v>
      </c>
      <c r="I13">
        <f t="shared" si="0"/>
        <v>7500</v>
      </c>
      <c r="J13" t="str">
        <f t="shared" si="1"/>
        <v>Mar</v>
      </c>
      <c r="K13">
        <f>YEAR(Sales_data[Date])</f>
        <v>2024</v>
      </c>
      <c r="L13" s="1">
        <f>Sales_data[Profit]/Sales_data[Total Sales]</f>
        <v>6.6666666666666666E-2</v>
      </c>
    </row>
    <row r="14" spans="1:12" x14ac:dyDescent="0.35">
      <c r="A14">
        <v>1013</v>
      </c>
      <c r="B14" t="s">
        <v>36</v>
      </c>
      <c r="C14" t="s">
        <v>19</v>
      </c>
      <c r="D14" t="s">
        <v>37</v>
      </c>
      <c r="E14" t="s">
        <v>13</v>
      </c>
      <c r="F14">
        <v>5</v>
      </c>
      <c r="G14">
        <v>2000</v>
      </c>
      <c r="H14">
        <v>450</v>
      </c>
      <c r="I14">
        <f t="shared" si="0"/>
        <v>10000</v>
      </c>
      <c r="J14" t="str">
        <f t="shared" si="1"/>
        <v>Jan</v>
      </c>
      <c r="K14">
        <f>YEAR(Sales_data[Date])</f>
        <v>2024</v>
      </c>
      <c r="L14" s="1">
        <f>Sales_data[Profit]/Sales_data[Total Sales]</f>
        <v>4.4999999999999998E-2</v>
      </c>
    </row>
    <row r="15" spans="1:12" x14ac:dyDescent="0.35">
      <c r="A15">
        <v>1014</v>
      </c>
      <c r="B15" t="s">
        <v>38</v>
      </c>
      <c r="C15" t="s">
        <v>31</v>
      </c>
      <c r="D15" t="s">
        <v>27</v>
      </c>
      <c r="E15" t="s">
        <v>25</v>
      </c>
      <c r="F15">
        <v>5</v>
      </c>
      <c r="G15">
        <v>55000</v>
      </c>
      <c r="H15">
        <v>8000</v>
      </c>
      <c r="I15">
        <f t="shared" si="0"/>
        <v>275000</v>
      </c>
      <c r="J15" t="str">
        <f t="shared" si="1"/>
        <v>Feb</v>
      </c>
      <c r="K15">
        <f>YEAR(Sales_data[Date])</f>
        <v>2024</v>
      </c>
      <c r="L15" s="1">
        <f>Sales_data[Profit]/Sales_data[Total Sales]</f>
        <v>2.9090909090909091E-2</v>
      </c>
    </row>
    <row r="16" spans="1:12" x14ac:dyDescent="0.35">
      <c r="A16">
        <v>1015</v>
      </c>
      <c r="B16" t="s">
        <v>39</v>
      </c>
      <c r="C16" t="s">
        <v>31</v>
      </c>
      <c r="D16" t="s">
        <v>20</v>
      </c>
      <c r="E16" t="s">
        <v>13</v>
      </c>
      <c r="F16">
        <v>5</v>
      </c>
      <c r="G16">
        <v>800</v>
      </c>
      <c r="H16">
        <v>150</v>
      </c>
      <c r="I16">
        <f t="shared" si="0"/>
        <v>4000</v>
      </c>
      <c r="J16" t="str">
        <f t="shared" si="1"/>
        <v>May</v>
      </c>
      <c r="K16">
        <f>YEAR(Sales_data[Date])</f>
        <v>2024</v>
      </c>
      <c r="L16" s="1">
        <f>Sales_data[Profit]/Sales_data[Total Sales]</f>
        <v>3.7499999999999999E-2</v>
      </c>
    </row>
    <row r="17" spans="1:12" x14ac:dyDescent="0.35">
      <c r="A17">
        <v>1016</v>
      </c>
      <c r="B17" t="s">
        <v>40</v>
      </c>
      <c r="C17" t="s">
        <v>31</v>
      </c>
      <c r="D17" t="s">
        <v>24</v>
      </c>
      <c r="E17" t="s">
        <v>25</v>
      </c>
      <c r="F17">
        <v>4</v>
      </c>
      <c r="G17">
        <v>20000</v>
      </c>
      <c r="H17">
        <v>3000</v>
      </c>
      <c r="I17">
        <f t="shared" si="0"/>
        <v>80000</v>
      </c>
      <c r="J17" t="str">
        <f t="shared" si="1"/>
        <v>May</v>
      </c>
      <c r="K17">
        <f>YEAR(Sales_data[Date])</f>
        <v>2024</v>
      </c>
      <c r="L17" s="1">
        <f>Sales_data[Profit]/Sales_data[Total Sales]</f>
        <v>3.7499999999999999E-2</v>
      </c>
    </row>
    <row r="18" spans="1:12" x14ac:dyDescent="0.35">
      <c r="A18">
        <v>1017</v>
      </c>
      <c r="B18" t="s">
        <v>41</v>
      </c>
      <c r="C18" t="s">
        <v>22</v>
      </c>
      <c r="D18" t="s">
        <v>29</v>
      </c>
      <c r="E18" t="s">
        <v>16</v>
      </c>
      <c r="F18">
        <v>2</v>
      </c>
      <c r="G18">
        <v>3000</v>
      </c>
      <c r="H18">
        <v>600</v>
      </c>
      <c r="I18">
        <f t="shared" si="0"/>
        <v>6000</v>
      </c>
      <c r="J18" t="str">
        <f t="shared" si="1"/>
        <v>Mar</v>
      </c>
      <c r="K18">
        <f>YEAR(Sales_data[Date])</f>
        <v>2024</v>
      </c>
      <c r="L18" s="1">
        <f>Sales_data[Profit]/Sales_data[Total Sales]</f>
        <v>0.1</v>
      </c>
    </row>
    <row r="19" spans="1:12" x14ac:dyDescent="0.35">
      <c r="A19">
        <v>1018</v>
      </c>
      <c r="B19" t="s">
        <v>42</v>
      </c>
      <c r="C19" t="s">
        <v>31</v>
      </c>
      <c r="D19" t="s">
        <v>24</v>
      </c>
      <c r="E19" t="s">
        <v>25</v>
      </c>
      <c r="F19">
        <v>5</v>
      </c>
      <c r="G19">
        <v>20000</v>
      </c>
      <c r="H19">
        <v>3000</v>
      </c>
      <c r="I19">
        <f t="shared" si="0"/>
        <v>100000</v>
      </c>
      <c r="J19" t="str">
        <f t="shared" si="1"/>
        <v>May</v>
      </c>
      <c r="K19">
        <f>YEAR(Sales_data[Date])</f>
        <v>2024</v>
      </c>
      <c r="L19" s="1">
        <f>Sales_data[Profit]/Sales_data[Total Sales]</f>
        <v>0.03</v>
      </c>
    </row>
    <row r="20" spans="1:12" x14ac:dyDescent="0.35">
      <c r="A20">
        <v>1019</v>
      </c>
      <c r="B20" t="s">
        <v>43</v>
      </c>
      <c r="C20" t="s">
        <v>33</v>
      </c>
      <c r="D20" t="s">
        <v>27</v>
      </c>
      <c r="E20" t="s">
        <v>25</v>
      </c>
      <c r="F20">
        <v>3</v>
      </c>
      <c r="G20">
        <v>55000</v>
      </c>
      <c r="H20">
        <v>8000</v>
      </c>
      <c r="I20">
        <f t="shared" si="0"/>
        <v>165000</v>
      </c>
      <c r="J20" t="str">
        <f t="shared" si="1"/>
        <v>Mar</v>
      </c>
      <c r="K20">
        <f>YEAR(Sales_data[Date])</f>
        <v>2024</v>
      </c>
      <c r="L20" s="1">
        <f>Sales_data[Profit]/Sales_data[Total Sales]</f>
        <v>4.8484848484848485E-2</v>
      </c>
    </row>
    <row r="21" spans="1:12" x14ac:dyDescent="0.35">
      <c r="A21">
        <v>1020</v>
      </c>
      <c r="B21" t="s">
        <v>44</v>
      </c>
      <c r="C21" t="s">
        <v>19</v>
      </c>
      <c r="D21" t="s">
        <v>15</v>
      </c>
      <c r="E21" t="s">
        <v>16</v>
      </c>
      <c r="F21">
        <v>3</v>
      </c>
      <c r="G21">
        <v>5000</v>
      </c>
      <c r="H21">
        <v>1000</v>
      </c>
      <c r="I21">
        <f t="shared" si="0"/>
        <v>15000</v>
      </c>
      <c r="J21" t="str">
        <f t="shared" si="1"/>
        <v>May</v>
      </c>
      <c r="K21">
        <f>YEAR(Sales_data[Date])</f>
        <v>2024</v>
      </c>
      <c r="L21" s="1">
        <f>Sales_data[Profit]/Sales_data[Total Sales]</f>
        <v>6.6666666666666666E-2</v>
      </c>
    </row>
    <row r="22" spans="1:12" x14ac:dyDescent="0.35">
      <c r="A22">
        <v>1021</v>
      </c>
      <c r="B22" t="s">
        <v>45</v>
      </c>
      <c r="C22" t="s">
        <v>31</v>
      </c>
      <c r="D22" t="s">
        <v>15</v>
      </c>
      <c r="E22" t="s">
        <v>16</v>
      </c>
      <c r="F22">
        <v>3</v>
      </c>
      <c r="G22">
        <v>5000</v>
      </c>
      <c r="H22">
        <v>1000</v>
      </c>
      <c r="I22">
        <f t="shared" si="0"/>
        <v>15000</v>
      </c>
      <c r="J22" t="str">
        <f t="shared" si="1"/>
        <v>Feb</v>
      </c>
      <c r="K22">
        <f>YEAR(Sales_data[Date])</f>
        <v>2024</v>
      </c>
      <c r="L22" s="1">
        <f>Sales_data[Profit]/Sales_data[Total Sales]</f>
        <v>6.6666666666666666E-2</v>
      </c>
    </row>
    <row r="23" spans="1:12" x14ac:dyDescent="0.35">
      <c r="A23">
        <v>1022</v>
      </c>
      <c r="B23" t="s">
        <v>46</v>
      </c>
      <c r="C23" t="s">
        <v>22</v>
      </c>
      <c r="D23" t="s">
        <v>12</v>
      </c>
      <c r="E23" t="s">
        <v>13</v>
      </c>
      <c r="F23">
        <v>5</v>
      </c>
      <c r="G23">
        <v>2500</v>
      </c>
      <c r="H23">
        <v>500</v>
      </c>
      <c r="I23">
        <f t="shared" si="0"/>
        <v>12500</v>
      </c>
      <c r="J23" t="str">
        <f t="shared" si="1"/>
        <v>Apr</v>
      </c>
      <c r="K23">
        <f>YEAR(Sales_data[Date])</f>
        <v>2024</v>
      </c>
      <c r="L23" s="1">
        <f>Sales_data[Profit]/Sales_data[Total Sales]</f>
        <v>0.04</v>
      </c>
    </row>
    <row r="24" spans="1:12" x14ac:dyDescent="0.35">
      <c r="A24">
        <v>1023</v>
      </c>
      <c r="B24" t="s">
        <v>36</v>
      </c>
      <c r="C24" t="s">
        <v>31</v>
      </c>
      <c r="D24" t="s">
        <v>47</v>
      </c>
      <c r="E24" t="s">
        <v>25</v>
      </c>
      <c r="F24">
        <v>2</v>
      </c>
      <c r="G24">
        <v>1500</v>
      </c>
      <c r="H24">
        <v>400</v>
      </c>
      <c r="I24">
        <f t="shared" si="0"/>
        <v>3000</v>
      </c>
      <c r="J24" t="str">
        <f t="shared" si="1"/>
        <v>Jan</v>
      </c>
      <c r="K24">
        <f>YEAR(Sales_data[Date])</f>
        <v>2024</v>
      </c>
      <c r="L24" s="1">
        <f>Sales_data[Profit]/Sales_data[Total Sales]</f>
        <v>0.13333333333333333</v>
      </c>
    </row>
    <row r="25" spans="1:12" x14ac:dyDescent="0.35">
      <c r="A25">
        <v>1024</v>
      </c>
      <c r="B25" t="s">
        <v>48</v>
      </c>
      <c r="C25" t="s">
        <v>31</v>
      </c>
      <c r="D25" t="s">
        <v>20</v>
      </c>
      <c r="E25" t="s">
        <v>13</v>
      </c>
      <c r="F25">
        <v>2</v>
      </c>
      <c r="G25">
        <v>800</v>
      </c>
      <c r="H25">
        <v>150</v>
      </c>
      <c r="I25">
        <f t="shared" si="0"/>
        <v>1600</v>
      </c>
      <c r="J25" t="str">
        <f t="shared" si="1"/>
        <v>Jun</v>
      </c>
      <c r="K25">
        <f>YEAR(Sales_data[Date])</f>
        <v>2024</v>
      </c>
      <c r="L25" s="1">
        <f>Sales_data[Profit]/Sales_data[Total Sales]</f>
        <v>9.375E-2</v>
      </c>
    </row>
    <row r="26" spans="1:12" x14ac:dyDescent="0.35">
      <c r="A26">
        <v>1025</v>
      </c>
      <c r="B26" t="s">
        <v>49</v>
      </c>
      <c r="C26" t="s">
        <v>35</v>
      </c>
      <c r="D26" t="s">
        <v>47</v>
      </c>
      <c r="E26" t="s">
        <v>25</v>
      </c>
      <c r="F26">
        <v>1</v>
      </c>
      <c r="G26">
        <v>1500</v>
      </c>
      <c r="H26">
        <v>400</v>
      </c>
      <c r="I26">
        <f t="shared" si="0"/>
        <v>1500</v>
      </c>
      <c r="J26" t="str">
        <f t="shared" si="1"/>
        <v>Apr</v>
      </c>
      <c r="K26">
        <f>YEAR(Sales_data[Date])</f>
        <v>2024</v>
      </c>
      <c r="L26" s="1">
        <f>Sales_data[Profit]/Sales_data[Total Sales]</f>
        <v>0.26666666666666666</v>
      </c>
    </row>
    <row r="27" spans="1:12" x14ac:dyDescent="0.35">
      <c r="A27">
        <v>1026</v>
      </c>
      <c r="B27" t="s">
        <v>50</v>
      </c>
      <c r="C27" t="s">
        <v>35</v>
      </c>
      <c r="D27" t="s">
        <v>51</v>
      </c>
      <c r="E27" t="s">
        <v>16</v>
      </c>
      <c r="F27">
        <v>2</v>
      </c>
      <c r="G27">
        <v>1500</v>
      </c>
      <c r="H27">
        <v>300</v>
      </c>
      <c r="I27">
        <f t="shared" si="0"/>
        <v>3000</v>
      </c>
      <c r="J27" t="str">
        <f t="shared" si="1"/>
        <v>May</v>
      </c>
      <c r="K27">
        <f>YEAR(Sales_data[Date])</f>
        <v>2024</v>
      </c>
      <c r="L27" s="1">
        <f>Sales_data[Profit]/Sales_data[Total Sales]</f>
        <v>0.1</v>
      </c>
    </row>
    <row r="28" spans="1:12" x14ac:dyDescent="0.35">
      <c r="A28">
        <v>1027</v>
      </c>
      <c r="B28" t="s">
        <v>52</v>
      </c>
      <c r="C28" t="s">
        <v>35</v>
      </c>
      <c r="D28" t="s">
        <v>15</v>
      </c>
      <c r="E28" t="s">
        <v>16</v>
      </c>
      <c r="F28">
        <v>5</v>
      </c>
      <c r="G28">
        <v>5000</v>
      </c>
      <c r="H28">
        <v>1000</v>
      </c>
      <c r="I28">
        <f t="shared" si="0"/>
        <v>25000</v>
      </c>
      <c r="J28" t="str">
        <f t="shared" si="1"/>
        <v>Jun</v>
      </c>
      <c r="K28">
        <f>YEAR(Sales_data[Date])</f>
        <v>2024</v>
      </c>
      <c r="L28" s="1">
        <f>Sales_data[Profit]/Sales_data[Total Sales]</f>
        <v>0.04</v>
      </c>
    </row>
    <row r="29" spans="1:12" x14ac:dyDescent="0.35">
      <c r="A29">
        <v>1028</v>
      </c>
      <c r="B29" t="s">
        <v>53</v>
      </c>
      <c r="C29" t="s">
        <v>19</v>
      </c>
      <c r="D29" t="s">
        <v>27</v>
      </c>
      <c r="E29" t="s">
        <v>25</v>
      </c>
      <c r="F29">
        <v>1</v>
      </c>
      <c r="G29">
        <v>55000</v>
      </c>
      <c r="H29">
        <v>8000</v>
      </c>
      <c r="I29">
        <f t="shared" si="0"/>
        <v>55000</v>
      </c>
      <c r="J29" t="str">
        <f t="shared" si="1"/>
        <v>Mar</v>
      </c>
      <c r="K29">
        <f>YEAR(Sales_data[Date])</f>
        <v>2024</v>
      </c>
      <c r="L29" s="1">
        <f>Sales_data[Profit]/Sales_data[Total Sales]</f>
        <v>0.14545454545454545</v>
      </c>
    </row>
    <row r="30" spans="1:12" x14ac:dyDescent="0.35">
      <c r="A30">
        <v>1029</v>
      </c>
      <c r="B30" t="s">
        <v>54</v>
      </c>
      <c r="C30" t="s">
        <v>19</v>
      </c>
      <c r="D30" t="s">
        <v>47</v>
      </c>
      <c r="E30" t="s">
        <v>25</v>
      </c>
      <c r="F30">
        <v>2</v>
      </c>
      <c r="G30">
        <v>1500</v>
      </c>
      <c r="H30">
        <v>400</v>
      </c>
      <c r="I30">
        <f t="shared" si="0"/>
        <v>3000</v>
      </c>
      <c r="J30" t="str">
        <f t="shared" si="1"/>
        <v>Mar</v>
      </c>
      <c r="K30">
        <f>YEAR(Sales_data[Date])</f>
        <v>2024</v>
      </c>
      <c r="L30" s="1">
        <f>Sales_data[Profit]/Sales_data[Total Sales]</f>
        <v>0.13333333333333333</v>
      </c>
    </row>
    <row r="31" spans="1:12" x14ac:dyDescent="0.35">
      <c r="A31">
        <v>1030</v>
      </c>
      <c r="B31" t="s">
        <v>28</v>
      </c>
      <c r="C31" t="s">
        <v>19</v>
      </c>
      <c r="D31" t="s">
        <v>47</v>
      </c>
      <c r="E31" t="s">
        <v>25</v>
      </c>
      <c r="F31">
        <v>1</v>
      </c>
      <c r="G31">
        <v>1500</v>
      </c>
      <c r="H31">
        <v>400</v>
      </c>
      <c r="I31">
        <f t="shared" si="0"/>
        <v>1500</v>
      </c>
      <c r="J31" t="str">
        <f t="shared" si="1"/>
        <v>Jun</v>
      </c>
      <c r="K31">
        <f>YEAR(Sales_data[Date])</f>
        <v>2024</v>
      </c>
      <c r="L31" s="1">
        <f>Sales_data[Profit]/Sales_data[Total Sales]</f>
        <v>0.26666666666666666</v>
      </c>
    </row>
    <row r="32" spans="1:12" x14ac:dyDescent="0.35">
      <c r="A32">
        <v>1031</v>
      </c>
      <c r="B32" t="s">
        <v>55</v>
      </c>
      <c r="C32" t="s">
        <v>19</v>
      </c>
      <c r="D32" t="s">
        <v>51</v>
      </c>
      <c r="E32" t="s">
        <v>16</v>
      </c>
      <c r="F32">
        <v>2</v>
      </c>
      <c r="G32">
        <v>1500</v>
      </c>
      <c r="H32">
        <v>300</v>
      </c>
      <c r="I32">
        <f t="shared" si="0"/>
        <v>3000</v>
      </c>
      <c r="J32" t="str">
        <f t="shared" si="1"/>
        <v>Mar</v>
      </c>
      <c r="K32">
        <f>YEAR(Sales_data[Date])</f>
        <v>2024</v>
      </c>
      <c r="L32" s="1">
        <f>Sales_data[Profit]/Sales_data[Total Sales]</f>
        <v>0.1</v>
      </c>
    </row>
    <row r="33" spans="1:12" x14ac:dyDescent="0.35">
      <c r="A33">
        <v>1032</v>
      </c>
      <c r="B33" t="s">
        <v>56</v>
      </c>
      <c r="C33" t="s">
        <v>35</v>
      </c>
      <c r="D33" t="s">
        <v>15</v>
      </c>
      <c r="E33" t="s">
        <v>16</v>
      </c>
      <c r="F33">
        <v>2</v>
      </c>
      <c r="G33">
        <v>5000</v>
      </c>
      <c r="H33">
        <v>1000</v>
      </c>
      <c r="I33">
        <f t="shared" si="0"/>
        <v>10000</v>
      </c>
      <c r="J33" t="str">
        <f t="shared" si="1"/>
        <v>Jun</v>
      </c>
      <c r="K33">
        <f>YEAR(Sales_data[Date])</f>
        <v>2024</v>
      </c>
      <c r="L33" s="1">
        <f>Sales_data[Profit]/Sales_data[Total Sales]</f>
        <v>0.1</v>
      </c>
    </row>
    <row r="34" spans="1:12" x14ac:dyDescent="0.35">
      <c r="A34">
        <v>1033</v>
      </c>
      <c r="B34" t="s">
        <v>57</v>
      </c>
      <c r="C34" t="s">
        <v>19</v>
      </c>
      <c r="D34" t="s">
        <v>24</v>
      </c>
      <c r="E34" t="s">
        <v>25</v>
      </c>
      <c r="F34">
        <v>3</v>
      </c>
      <c r="G34">
        <v>20000</v>
      </c>
      <c r="H34">
        <v>3000</v>
      </c>
      <c r="I34">
        <f t="shared" ref="I34:I65" si="2">F34*G34</f>
        <v>60000</v>
      </c>
      <c r="J34" t="str">
        <f t="shared" ref="J34:J65" si="3">TEXT(B34,"mmm")</f>
        <v>Jun</v>
      </c>
      <c r="K34">
        <f>YEAR(Sales_data[Date])</f>
        <v>2024</v>
      </c>
      <c r="L34" s="1">
        <f>Sales_data[Profit]/Sales_data[Total Sales]</f>
        <v>0.05</v>
      </c>
    </row>
    <row r="35" spans="1:12" x14ac:dyDescent="0.35">
      <c r="A35">
        <v>1034</v>
      </c>
      <c r="B35" t="s">
        <v>58</v>
      </c>
      <c r="C35" t="s">
        <v>31</v>
      </c>
      <c r="D35" t="s">
        <v>37</v>
      </c>
      <c r="E35" t="s">
        <v>13</v>
      </c>
      <c r="F35">
        <v>4</v>
      </c>
      <c r="G35">
        <v>2000</v>
      </c>
      <c r="H35">
        <v>450</v>
      </c>
      <c r="I35">
        <f t="shared" si="2"/>
        <v>8000</v>
      </c>
      <c r="J35" t="str">
        <f t="shared" si="3"/>
        <v>Feb</v>
      </c>
      <c r="K35">
        <f>YEAR(Sales_data[Date])</f>
        <v>2024</v>
      </c>
      <c r="L35" s="1">
        <f>Sales_data[Profit]/Sales_data[Total Sales]</f>
        <v>5.6250000000000001E-2</v>
      </c>
    </row>
    <row r="36" spans="1:12" x14ac:dyDescent="0.35">
      <c r="A36">
        <v>1035</v>
      </c>
      <c r="B36" t="s">
        <v>36</v>
      </c>
      <c r="C36" t="s">
        <v>19</v>
      </c>
      <c r="D36" t="s">
        <v>51</v>
      </c>
      <c r="E36" t="s">
        <v>16</v>
      </c>
      <c r="F36">
        <v>3</v>
      </c>
      <c r="G36">
        <v>1500</v>
      </c>
      <c r="H36">
        <v>300</v>
      </c>
      <c r="I36">
        <f t="shared" si="2"/>
        <v>4500</v>
      </c>
      <c r="J36" t="str">
        <f t="shared" si="3"/>
        <v>Jan</v>
      </c>
      <c r="K36">
        <f>YEAR(Sales_data[Date])</f>
        <v>2024</v>
      </c>
      <c r="L36" s="1">
        <f>Sales_data[Profit]/Sales_data[Total Sales]</f>
        <v>6.6666666666666666E-2</v>
      </c>
    </row>
    <row r="37" spans="1:12" x14ac:dyDescent="0.35">
      <c r="A37">
        <v>1036</v>
      </c>
      <c r="B37" t="s">
        <v>42</v>
      </c>
      <c r="C37" t="s">
        <v>31</v>
      </c>
      <c r="D37" t="s">
        <v>15</v>
      </c>
      <c r="E37" t="s">
        <v>16</v>
      </c>
      <c r="F37">
        <v>1</v>
      </c>
      <c r="G37">
        <v>5000</v>
      </c>
      <c r="H37">
        <v>1000</v>
      </c>
      <c r="I37">
        <f t="shared" si="2"/>
        <v>5000</v>
      </c>
      <c r="J37" t="str">
        <f t="shared" si="3"/>
        <v>May</v>
      </c>
      <c r="K37">
        <f>YEAR(Sales_data[Date])</f>
        <v>2024</v>
      </c>
      <c r="L37" s="1">
        <f>Sales_data[Profit]/Sales_data[Total Sales]</f>
        <v>0.2</v>
      </c>
    </row>
    <row r="38" spans="1:12" x14ac:dyDescent="0.35">
      <c r="A38">
        <v>1037</v>
      </c>
      <c r="B38" t="s">
        <v>59</v>
      </c>
      <c r="C38" t="s">
        <v>33</v>
      </c>
      <c r="D38" t="s">
        <v>12</v>
      </c>
      <c r="E38" t="s">
        <v>13</v>
      </c>
      <c r="F38">
        <v>1</v>
      </c>
      <c r="G38">
        <v>2500</v>
      </c>
      <c r="H38">
        <v>500</v>
      </c>
      <c r="I38">
        <f t="shared" si="2"/>
        <v>2500</v>
      </c>
      <c r="J38" t="str">
        <f t="shared" si="3"/>
        <v>Jun</v>
      </c>
      <c r="K38">
        <f>YEAR(Sales_data[Date])</f>
        <v>2024</v>
      </c>
      <c r="L38" s="1">
        <f>Sales_data[Profit]/Sales_data[Total Sales]</f>
        <v>0.2</v>
      </c>
    </row>
    <row r="39" spans="1:12" x14ac:dyDescent="0.35">
      <c r="A39">
        <v>1038</v>
      </c>
      <c r="B39" t="s">
        <v>60</v>
      </c>
      <c r="C39" t="s">
        <v>33</v>
      </c>
      <c r="D39" t="s">
        <v>27</v>
      </c>
      <c r="E39" t="s">
        <v>25</v>
      </c>
      <c r="F39">
        <v>4</v>
      </c>
      <c r="G39">
        <v>55000</v>
      </c>
      <c r="H39">
        <v>8000</v>
      </c>
      <c r="I39">
        <f t="shared" si="2"/>
        <v>220000</v>
      </c>
      <c r="J39" t="str">
        <f t="shared" si="3"/>
        <v>May</v>
      </c>
      <c r="K39">
        <f>YEAR(Sales_data[Date])</f>
        <v>2024</v>
      </c>
      <c r="L39" s="1">
        <f>Sales_data[Profit]/Sales_data[Total Sales]</f>
        <v>3.6363636363636362E-2</v>
      </c>
    </row>
    <row r="40" spans="1:12" x14ac:dyDescent="0.35">
      <c r="A40">
        <v>1039</v>
      </c>
      <c r="B40" t="s">
        <v>61</v>
      </c>
      <c r="C40" t="s">
        <v>33</v>
      </c>
      <c r="D40" t="s">
        <v>15</v>
      </c>
      <c r="E40" t="s">
        <v>16</v>
      </c>
      <c r="F40">
        <v>5</v>
      </c>
      <c r="G40">
        <v>5000</v>
      </c>
      <c r="H40">
        <v>1000</v>
      </c>
      <c r="I40">
        <f t="shared" si="2"/>
        <v>25000</v>
      </c>
      <c r="J40" t="str">
        <f t="shared" si="3"/>
        <v>Feb</v>
      </c>
      <c r="K40">
        <f>YEAR(Sales_data[Date])</f>
        <v>2024</v>
      </c>
      <c r="L40" s="1">
        <f>Sales_data[Profit]/Sales_data[Total Sales]</f>
        <v>0.04</v>
      </c>
    </row>
    <row r="41" spans="1:12" x14ac:dyDescent="0.35">
      <c r="A41">
        <v>1040</v>
      </c>
      <c r="B41" t="s">
        <v>62</v>
      </c>
      <c r="C41" t="s">
        <v>33</v>
      </c>
      <c r="D41" t="s">
        <v>47</v>
      </c>
      <c r="E41" t="s">
        <v>25</v>
      </c>
      <c r="F41">
        <v>4</v>
      </c>
      <c r="G41">
        <v>1500</v>
      </c>
      <c r="H41">
        <v>400</v>
      </c>
      <c r="I41">
        <f t="shared" si="2"/>
        <v>6000</v>
      </c>
      <c r="J41" t="str">
        <f t="shared" si="3"/>
        <v>May</v>
      </c>
      <c r="K41">
        <f>YEAR(Sales_data[Date])</f>
        <v>2024</v>
      </c>
      <c r="L41" s="1">
        <f>Sales_data[Profit]/Sales_data[Total Sales]</f>
        <v>6.6666666666666666E-2</v>
      </c>
    </row>
    <row r="42" spans="1:12" x14ac:dyDescent="0.35">
      <c r="A42">
        <v>1041</v>
      </c>
      <c r="B42" t="s">
        <v>63</v>
      </c>
      <c r="C42" t="s">
        <v>33</v>
      </c>
      <c r="D42" t="s">
        <v>20</v>
      </c>
      <c r="E42" t="s">
        <v>13</v>
      </c>
      <c r="F42">
        <v>5</v>
      </c>
      <c r="G42">
        <v>800</v>
      </c>
      <c r="H42">
        <v>150</v>
      </c>
      <c r="I42">
        <f t="shared" si="2"/>
        <v>4000</v>
      </c>
      <c r="J42" t="str">
        <f t="shared" si="3"/>
        <v>May</v>
      </c>
      <c r="K42">
        <f>YEAR(Sales_data[Date])</f>
        <v>2024</v>
      </c>
      <c r="L42" s="1">
        <f>Sales_data[Profit]/Sales_data[Total Sales]</f>
        <v>3.7499999999999999E-2</v>
      </c>
    </row>
    <row r="43" spans="1:12" x14ac:dyDescent="0.35">
      <c r="A43">
        <v>1042</v>
      </c>
      <c r="B43" t="s">
        <v>64</v>
      </c>
      <c r="C43" t="s">
        <v>19</v>
      </c>
      <c r="D43" t="s">
        <v>47</v>
      </c>
      <c r="E43" t="s">
        <v>25</v>
      </c>
      <c r="F43">
        <v>4</v>
      </c>
      <c r="G43">
        <v>1500</v>
      </c>
      <c r="H43">
        <v>400</v>
      </c>
      <c r="I43">
        <f t="shared" si="2"/>
        <v>6000</v>
      </c>
      <c r="J43" t="str">
        <f t="shared" si="3"/>
        <v>Apr</v>
      </c>
      <c r="K43">
        <f>YEAR(Sales_data[Date])</f>
        <v>2024</v>
      </c>
      <c r="L43" s="1">
        <f>Sales_data[Profit]/Sales_data[Total Sales]</f>
        <v>6.6666666666666666E-2</v>
      </c>
    </row>
    <row r="44" spans="1:12" x14ac:dyDescent="0.35">
      <c r="A44">
        <v>1043</v>
      </c>
      <c r="B44" t="s">
        <v>65</v>
      </c>
      <c r="C44" t="s">
        <v>35</v>
      </c>
      <c r="D44" t="s">
        <v>51</v>
      </c>
      <c r="E44" t="s">
        <v>16</v>
      </c>
      <c r="F44">
        <v>1</v>
      </c>
      <c r="G44">
        <v>1500</v>
      </c>
      <c r="H44">
        <v>300</v>
      </c>
      <c r="I44">
        <f t="shared" si="2"/>
        <v>1500</v>
      </c>
      <c r="J44" t="str">
        <f t="shared" si="3"/>
        <v>Jun</v>
      </c>
      <c r="K44">
        <f>YEAR(Sales_data[Date])</f>
        <v>2024</v>
      </c>
      <c r="L44" s="1">
        <f>Sales_data[Profit]/Sales_data[Total Sales]</f>
        <v>0.2</v>
      </c>
    </row>
    <row r="45" spans="1:12" x14ac:dyDescent="0.35">
      <c r="A45">
        <v>1044</v>
      </c>
      <c r="B45" t="s">
        <v>66</v>
      </c>
      <c r="C45" t="s">
        <v>22</v>
      </c>
      <c r="D45" t="s">
        <v>27</v>
      </c>
      <c r="E45" t="s">
        <v>25</v>
      </c>
      <c r="F45">
        <v>2</v>
      </c>
      <c r="G45">
        <v>55000</v>
      </c>
      <c r="H45">
        <v>8000</v>
      </c>
      <c r="I45">
        <f t="shared" si="2"/>
        <v>110000</v>
      </c>
      <c r="J45" t="str">
        <f t="shared" si="3"/>
        <v>Jan</v>
      </c>
      <c r="K45">
        <f>YEAR(Sales_data[Date])</f>
        <v>2024</v>
      </c>
      <c r="L45" s="1">
        <f>Sales_data[Profit]/Sales_data[Total Sales]</f>
        <v>7.2727272727272724E-2</v>
      </c>
    </row>
    <row r="46" spans="1:12" x14ac:dyDescent="0.35">
      <c r="A46">
        <v>1045</v>
      </c>
      <c r="B46" t="s">
        <v>67</v>
      </c>
      <c r="C46" t="s">
        <v>35</v>
      </c>
      <c r="D46" t="s">
        <v>29</v>
      </c>
      <c r="E46" t="s">
        <v>16</v>
      </c>
      <c r="F46">
        <v>2</v>
      </c>
      <c r="G46">
        <v>3000</v>
      </c>
      <c r="H46">
        <v>600</v>
      </c>
      <c r="I46">
        <f t="shared" si="2"/>
        <v>6000</v>
      </c>
      <c r="J46" t="str">
        <f t="shared" si="3"/>
        <v>Jan</v>
      </c>
      <c r="K46">
        <f>YEAR(Sales_data[Date])</f>
        <v>2024</v>
      </c>
      <c r="L46" s="1">
        <f>Sales_data[Profit]/Sales_data[Total Sales]</f>
        <v>0.1</v>
      </c>
    </row>
    <row r="47" spans="1:12" x14ac:dyDescent="0.35">
      <c r="A47">
        <v>1046</v>
      </c>
      <c r="B47" t="s">
        <v>34</v>
      </c>
      <c r="C47" t="s">
        <v>11</v>
      </c>
      <c r="D47" t="s">
        <v>24</v>
      </c>
      <c r="E47" t="s">
        <v>25</v>
      </c>
      <c r="F47">
        <v>1</v>
      </c>
      <c r="G47">
        <v>20000</v>
      </c>
      <c r="H47">
        <v>3000</v>
      </c>
      <c r="I47">
        <f t="shared" si="2"/>
        <v>20000</v>
      </c>
      <c r="J47" t="str">
        <f t="shared" si="3"/>
        <v>Apr</v>
      </c>
      <c r="K47">
        <f>YEAR(Sales_data[Date])</f>
        <v>2024</v>
      </c>
      <c r="L47" s="1">
        <f>Sales_data[Profit]/Sales_data[Total Sales]</f>
        <v>0.15</v>
      </c>
    </row>
    <row r="48" spans="1:12" x14ac:dyDescent="0.35">
      <c r="A48">
        <v>1047</v>
      </c>
      <c r="B48" t="s">
        <v>68</v>
      </c>
      <c r="C48" t="s">
        <v>11</v>
      </c>
      <c r="D48" t="s">
        <v>51</v>
      </c>
      <c r="E48" t="s">
        <v>16</v>
      </c>
      <c r="F48">
        <v>1</v>
      </c>
      <c r="G48">
        <v>1500</v>
      </c>
      <c r="H48">
        <v>300</v>
      </c>
      <c r="I48">
        <f t="shared" si="2"/>
        <v>1500</v>
      </c>
      <c r="J48" t="str">
        <f t="shared" si="3"/>
        <v>Jun</v>
      </c>
      <c r="K48">
        <f>YEAR(Sales_data[Date])</f>
        <v>2024</v>
      </c>
      <c r="L48" s="1">
        <f>Sales_data[Profit]/Sales_data[Total Sales]</f>
        <v>0.2</v>
      </c>
    </row>
    <row r="49" spans="1:12" x14ac:dyDescent="0.35">
      <c r="A49">
        <v>1048</v>
      </c>
      <c r="B49" t="s">
        <v>69</v>
      </c>
      <c r="C49" t="s">
        <v>11</v>
      </c>
      <c r="D49" t="s">
        <v>37</v>
      </c>
      <c r="E49" t="s">
        <v>13</v>
      </c>
      <c r="F49">
        <v>1</v>
      </c>
      <c r="G49">
        <v>2000</v>
      </c>
      <c r="H49">
        <v>450</v>
      </c>
      <c r="I49">
        <f t="shared" si="2"/>
        <v>2000</v>
      </c>
      <c r="J49" t="str">
        <f t="shared" si="3"/>
        <v>Feb</v>
      </c>
      <c r="K49">
        <f>YEAR(Sales_data[Date])</f>
        <v>2024</v>
      </c>
      <c r="L49" s="1">
        <f>Sales_data[Profit]/Sales_data[Total Sales]</f>
        <v>0.22500000000000001</v>
      </c>
    </row>
    <row r="50" spans="1:12" x14ac:dyDescent="0.35">
      <c r="A50">
        <v>1049</v>
      </c>
      <c r="B50" t="s">
        <v>66</v>
      </c>
      <c r="C50" t="s">
        <v>35</v>
      </c>
      <c r="D50" t="s">
        <v>27</v>
      </c>
      <c r="E50" t="s">
        <v>25</v>
      </c>
      <c r="F50">
        <v>2</v>
      </c>
      <c r="G50">
        <v>55000</v>
      </c>
      <c r="H50">
        <v>8000</v>
      </c>
      <c r="I50">
        <f t="shared" si="2"/>
        <v>110000</v>
      </c>
      <c r="J50" t="str">
        <f t="shared" si="3"/>
        <v>Jan</v>
      </c>
      <c r="K50">
        <f>YEAR(Sales_data[Date])</f>
        <v>2024</v>
      </c>
      <c r="L50" s="1">
        <f>Sales_data[Profit]/Sales_data[Total Sales]</f>
        <v>7.2727272727272724E-2</v>
      </c>
    </row>
    <row r="51" spans="1:12" x14ac:dyDescent="0.35">
      <c r="A51">
        <v>1050</v>
      </c>
      <c r="B51" t="s">
        <v>70</v>
      </c>
      <c r="C51" t="s">
        <v>33</v>
      </c>
      <c r="D51" t="s">
        <v>24</v>
      </c>
      <c r="E51" t="s">
        <v>25</v>
      </c>
      <c r="F51">
        <v>3</v>
      </c>
      <c r="G51">
        <v>20000</v>
      </c>
      <c r="H51">
        <v>3000</v>
      </c>
      <c r="I51">
        <f t="shared" si="2"/>
        <v>60000</v>
      </c>
      <c r="J51" t="str">
        <f t="shared" si="3"/>
        <v>May</v>
      </c>
      <c r="K51">
        <f>YEAR(Sales_data[Date])</f>
        <v>2024</v>
      </c>
      <c r="L51" s="1">
        <f>Sales_data[Profit]/Sales_data[Total Sales]</f>
        <v>0.05</v>
      </c>
    </row>
    <row r="52" spans="1:12" x14ac:dyDescent="0.35">
      <c r="A52">
        <v>1051</v>
      </c>
      <c r="B52" t="s">
        <v>71</v>
      </c>
      <c r="C52" t="s">
        <v>31</v>
      </c>
      <c r="D52" t="s">
        <v>15</v>
      </c>
      <c r="E52" t="s">
        <v>16</v>
      </c>
      <c r="F52">
        <v>3</v>
      </c>
      <c r="G52">
        <v>5000</v>
      </c>
      <c r="H52">
        <v>1000</v>
      </c>
      <c r="I52">
        <f t="shared" si="2"/>
        <v>15000</v>
      </c>
      <c r="J52" t="str">
        <f t="shared" si="3"/>
        <v>Jun</v>
      </c>
      <c r="K52">
        <f>YEAR(Sales_data[Date])</f>
        <v>2024</v>
      </c>
      <c r="L52" s="1">
        <f>Sales_data[Profit]/Sales_data[Total Sales]</f>
        <v>6.6666666666666666E-2</v>
      </c>
    </row>
    <row r="53" spans="1:12" x14ac:dyDescent="0.35">
      <c r="A53">
        <v>1052</v>
      </c>
      <c r="B53" t="s">
        <v>57</v>
      </c>
      <c r="C53" t="s">
        <v>31</v>
      </c>
      <c r="D53" t="s">
        <v>12</v>
      </c>
      <c r="E53" t="s">
        <v>13</v>
      </c>
      <c r="F53">
        <v>3</v>
      </c>
      <c r="G53">
        <v>2500</v>
      </c>
      <c r="H53">
        <v>500</v>
      </c>
      <c r="I53">
        <f t="shared" si="2"/>
        <v>7500</v>
      </c>
      <c r="J53" t="str">
        <f t="shared" si="3"/>
        <v>Jun</v>
      </c>
      <c r="K53">
        <f>YEAR(Sales_data[Date])</f>
        <v>2024</v>
      </c>
      <c r="L53" s="1">
        <f>Sales_data[Profit]/Sales_data[Total Sales]</f>
        <v>6.6666666666666666E-2</v>
      </c>
    </row>
    <row r="54" spans="1:12" x14ac:dyDescent="0.35">
      <c r="A54">
        <v>1053</v>
      </c>
      <c r="B54" t="s">
        <v>72</v>
      </c>
      <c r="C54" t="s">
        <v>22</v>
      </c>
      <c r="D54" t="s">
        <v>51</v>
      </c>
      <c r="E54" t="s">
        <v>16</v>
      </c>
      <c r="F54">
        <v>3</v>
      </c>
      <c r="G54">
        <v>1500</v>
      </c>
      <c r="H54">
        <v>300</v>
      </c>
      <c r="I54">
        <f t="shared" si="2"/>
        <v>4500</v>
      </c>
      <c r="J54" t="str">
        <f t="shared" si="3"/>
        <v>Jan</v>
      </c>
      <c r="K54">
        <f>YEAR(Sales_data[Date])</f>
        <v>2024</v>
      </c>
      <c r="L54" s="1">
        <f>Sales_data[Profit]/Sales_data[Total Sales]</f>
        <v>6.6666666666666666E-2</v>
      </c>
    </row>
    <row r="55" spans="1:12" x14ac:dyDescent="0.35">
      <c r="A55">
        <v>1054</v>
      </c>
      <c r="B55" t="s">
        <v>73</v>
      </c>
      <c r="C55" t="s">
        <v>35</v>
      </c>
      <c r="D55" t="s">
        <v>37</v>
      </c>
      <c r="E55" t="s">
        <v>13</v>
      </c>
      <c r="F55">
        <v>1</v>
      </c>
      <c r="G55">
        <v>2000</v>
      </c>
      <c r="H55">
        <v>450</v>
      </c>
      <c r="I55">
        <f t="shared" si="2"/>
        <v>2000</v>
      </c>
      <c r="J55" t="str">
        <f t="shared" si="3"/>
        <v>May</v>
      </c>
      <c r="K55">
        <f>YEAR(Sales_data[Date])</f>
        <v>2024</v>
      </c>
      <c r="L55" s="1">
        <f>Sales_data[Profit]/Sales_data[Total Sales]</f>
        <v>0.22500000000000001</v>
      </c>
    </row>
    <row r="56" spans="1:12" x14ac:dyDescent="0.35">
      <c r="A56">
        <v>1055</v>
      </c>
      <c r="B56" t="s">
        <v>74</v>
      </c>
      <c r="C56" t="s">
        <v>35</v>
      </c>
      <c r="D56" t="s">
        <v>15</v>
      </c>
      <c r="E56" t="s">
        <v>16</v>
      </c>
      <c r="F56">
        <v>2</v>
      </c>
      <c r="G56">
        <v>5000</v>
      </c>
      <c r="H56">
        <v>1000</v>
      </c>
      <c r="I56">
        <f t="shared" si="2"/>
        <v>10000</v>
      </c>
      <c r="J56" t="str">
        <f t="shared" si="3"/>
        <v>Jan</v>
      </c>
      <c r="K56">
        <f>YEAR(Sales_data[Date])</f>
        <v>2024</v>
      </c>
      <c r="L56" s="1">
        <f>Sales_data[Profit]/Sales_data[Total Sales]</f>
        <v>0.1</v>
      </c>
    </row>
    <row r="57" spans="1:12" x14ac:dyDescent="0.35">
      <c r="A57">
        <v>1056</v>
      </c>
      <c r="B57" t="s">
        <v>45</v>
      </c>
      <c r="C57" t="s">
        <v>31</v>
      </c>
      <c r="D57" t="s">
        <v>51</v>
      </c>
      <c r="E57" t="s">
        <v>16</v>
      </c>
      <c r="F57">
        <v>3</v>
      </c>
      <c r="G57">
        <v>1500</v>
      </c>
      <c r="H57">
        <v>300</v>
      </c>
      <c r="I57">
        <f t="shared" si="2"/>
        <v>4500</v>
      </c>
      <c r="J57" t="str">
        <f t="shared" si="3"/>
        <v>Feb</v>
      </c>
      <c r="K57">
        <f>YEAR(Sales_data[Date])</f>
        <v>2024</v>
      </c>
      <c r="L57" s="1">
        <f>Sales_data[Profit]/Sales_data[Total Sales]</f>
        <v>6.6666666666666666E-2</v>
      </c>
    </row>
    <row r="58" spans="1:12" x14ac:dyDescent="0.35">
      <c r="A58">
        <v>1057</v>
      </c>
      <c r="B58" t="s">
        <v>49</v>
      </c>
      <c r="C58" t="s">
        <v>35</v>
      </c>
      <c r="D58" t="s">
        <v>29</v>
      </c>
      <c r="E58" t="s">
        <v>16</v>
      </c>
      <c r="F58">
        <v>2</v>
      </c>
      <c r="G58">
        <v>3000</v>
      </c>
      <c r="H58">
        <v>600</v>
      </c>
      <c r="I58">
        <f t="shared" si="2"/>
        <v>6000</v>
      </c>
      <c r="J58" t="str">
        <f t="shared" si="3"/>
        <v>Apr</v>
      </c>
      <c r="K58">
        <f>YEAR(Sales_data[Date])</f>
        <v>2024</v>
      </c>
      <c r="L58" s="1">
        <f>Sales_data[Profit]/Sales_data[Total Sales]</f>
        <v>0.1</v>
      </c>
    </row>
    <row r="59" spans="1:12" x14ac:dyDescent="0.35">
      <c r="A59">
        <v>1058</v>
      </c>
      <c r="B59" t="s">
        <v>14</v>
      </c>
      <c r="C59" t="s">
        <v>19</v>
      </c>
      <c r="D59" t="s">
        <v>12</v>
      </c>
      <c r="E59" t="s">
        <v>13</v>
      </c>
      <c r="F59">
        <v>5</v>
      </c>
      <c r="G59">
        <v>2500</v>
      </c>
      <c r="H59">
        <v>500</v>
      </c>
      <c r="I59">
        <f t="shared" si="2"/>
        <v>12500</v>
      </c>
      <c r="J59" t="str">
        <f t="shared" si="3"/>
        <v>Mar</v>
      </c>
      <c r="K59">
        <f>YEAR(Sales_data[Date])</f>
        <v>2024</v>
      </c>
      <c r="L59" s="1">
        <f>Sales_data[Profit]/Sales_data[Total Sales]</f>
        <v>0.04</v>
      </c>
    </row>
    <row r="60" spans="1:12" x14ac:dyDescent="0.35">
      <c r="A60">
        <v>1059</v>
      </c>
      <c r="B60" t="s">
        <v>75</v>
      </c>
      <c r="C60" t="s">
        <v>33</v>
      </c>
      <c r="D60" t="s">
        <v>15</v>
      </c>
      <c r="E60" t="s">
        <v>16</v>
      </c>
      <c r="F60">
        <v>1</v>
      </c>
      <c r="G60">
        <v>5000</v>
      </c>
      <c r="H60">
        <v>1000</v>
      </c>
      <c r="I60">
        <f t="shared" si="2"/>
        <v>5000</v>
      </c>
      <c r="J60" t="str">
        <f t="shared" si="3"/>
        <v>Feb</v>
      </c>
      <c r="K60">
        <f>YEAR(Sales_data[Date])</f>
        <v>2024</v>
      </c>
      <c r="L60" s="1">
        <f>Sales_data[Profit]/Sales_data[Total Sales]</f>
        <v>0.2</v>
      </c>
    </row>
    <row r="61" spans="1:12" x14ac:dyDescent="0.35">
      <c r="A61">
        <v>1060</v>
      </c>
      <c r="B61" t="s">
        <v>45</v>
      </c>
      <c r="C61" t="s">
        <v>33</v>
      </c>
      <c r="D61" t="s">
        <v>29</v>
      </c>
      <c r="E61" t="s">
        <v>16</v>
      </c>
      <c r="F61">
        <v>3</v>
      </c>
      <c r="G61">
        <v>3000</v>
      </c>
      <c r="H61">
        <v>600</v>
      </c>
      <c r="I61">
        <f t="shared" si="2"/>
        <v>9000</v>
      </c>
      <c r="J61" t="str">
        <f t="shared" si="3"/>
        <v>Feb</v>
      </c>
      <c r="K61">
        <f>YEAR(Sales_data[Date])</f>
        <v>2024</v>
      </c>
      <c r="L61" s="1">
        <f>Sales_data[Profit]/Sales_data[Total Sales]</f>
        <v>6.6666666666666666E-2</v>
      </c>
    </row>
    <row r="62" spans="1:12" x14ac:dyDescent="0.35">
      <c r="A62">
        <v>1061</v>
      </c>
      <c r="B62" t="s">
        <v>76</v>
      </c>
      <c r="C62" t="s">
        <v>11</v>
      </c>
      <c r="D62" t="s">
        <v>24</v>
      </c>
      <c r="E62" t="s">
        <v>25</v>
      </c>
      <c r="F62">
        <v>4</v>
      </c>
      <c r="G62">
        <v>20000</v>
      </c>
      <c r="H62">
        <v>3000</v>
      </c>
      <c r="I62">
        <f t="shared" si="2"/>
        <v>80000</v>
      </c>
      <c r="J62" t="str">
        <f t="shared" si="3"/>
        <v>Mar</v>
      </c>
      <c r="K62">
        <f>YEAR(Sales_data[Date])</f>
        <v>2024</v>
      </c>
      <c r="L62" s="1">
        <f>Sales_data[Profit]/Sales_data[Total Sales]</f>
        <v>3.7499999999999999E-2</v>
      </c>
    </row>
    <row r="63" spans="1:12" x14ac:dyDescent="0.35">
      <c r="A63">
        <v>1062</v>
      </c>
      <c r="B63" t="s">
        <v>77</v>
      </c>
      <c r="C63" t="s">
        <v>11</v>
      </c>
      <c r="D63" t="s">
        <v>15</v>
      </c>
      <c r="E63" t="s">
        <v>16</v>
      </c>
      <c r="F63">
        <v>1</v>
      </c>
      <c r="G63">
        <v>5000</v>
      </c>
      <c r="H63">
        <v>1000</v>
      </c>
      <c r="I63">
        <f t="shared" si="2"/>
        <v>5000</v>
      </c>
      <c r="J63" t="str">
        <f t="shared" si="3"/>
        <v>Jan</v>
      </c>
      <c r="K63">
        <f>YEAR(Sales_data[Date])</f>
        <v>2024</v>
      </c>
      <c r="L63" s="1">
        <f>Sales_data[Profit]/Sales_data[Total Sales]</f>
        <v>0.2</v>
      </c>
    </row>
    <row r="64" spans="1:12" x14ac:dyDescent="0.35">
      <c r="A64">
        <v>1063</v>
      </c>
      <c r="B64" t="s">
        <v>78</v>
      </c>
      <c r="C64" t="s">
        <v>35</v>
      </c>
      <c r="D64" t="s">
        <v>37</v>
      </c>
      <c r="E64" t="s">
        <v>13</v>
      </c>
      <c r="F64">
        <v>1</v>
      </c>
      <c r="G64">
        <v>2000</v>
      </c>
      <c r="H64">
        <v>450</v>
      </c>
      <c r="I64">
        <f t="shared" si="2"/>
        <v>2000</v>
      </c>
      <c r="J64" t="str">
        <f t="shared" si="3"/>
        <v>Apr</v>
      </c>
      <c r="K64">
        <f>YEAR(Sales_data[Date])</f>
        <v>2024</v>
      </c>
      <c r="L64" s="1">
        <f>Sales_data[Profit]/Sales_data[Total Sales]</f>
        <v>0.22500000000000001</v>
      </c>
    </row>
    <row r="65" spans="1:12" x14ac:dyDescent="0.35">
      <c r="A65">
        <v>1064</v>
      </c>
      <c r="B65" t="s">
        <v>79</v>
      </c>
      <c r="C65" t="s">
        <v>33</v>
      </c>
      <c r="D65" t="s">
        <v>15</v>
      </c>
      <c r="E65" t="s">
        <v>16</v>
      </c>
      <c r="F65">
        <v>2</v>
      </c>
      <c r="G65">
        <v>5000</v>
      </c>
      <c r="H65">
        <v>1000</v>
      </c>
      <c r="I65">
        <f t="shared" si="2"/>
        <v>10000</v>
      </c>
      <c r="J65" t="str">
        <f t="shared" si="3"/>
        <v>Mar</v>
      </c>
      <c r="K65">
        <f>YEAR(Sales_data[Date])</f>
        <v>2024</v>
      </c>
      <c r="L65" s="1">
        <f>Sales_data[Profit]/Sales_data[Total Sales]</f>
        <v>0.1</v>
      </c>
    </row>
    <row r="66" spans="1:12" x14ac:dyDescent="0.35">
      <c r="A66">
        <v>1065</v>
      </c>
      <c r="B66" t="s">
        <v>80</v>
      </c>
      <c r="C66" t="s">
        <v>22</v>
      </c>
      <c r="D66" t="s">
        <v>27</v>
      </c>
      <c r="E66" t="s">
        <v>25</v>
      </c>
      <c r="F66">
        <v>2</v>
      </c>
      <c r="G66">
        <v>55000</v>
      </c>
      <c r="H66">
        <v>8000</v>
      </c>
      <c r="I66">
        <f t="shared" ref="I66:I101" si="4">F66*G66</f>
        <v>110000</v>
      </c>
      <c r="J66" t="str">
        <f t="shared" ref="J66:J101" si="5">TEXT(B66,"mmm")</f>
        <v>Feb</v>
      </c>
      <c r="K66">
        <f>YEAR(Sales_data[Date])</f>
        <v>2024</v>
      </c>
      <c r="L66" s="1">
        <f>Sales_data[Profit]/Sales_data[Total Sales]</f>
        <v>7.2727272727272724E-2</v>
      </c>
    </row>
    <row r="67" spans="1:12" x14ac:dyDescent="0.35">
      <c r="A67">
        <v>1066</v>
      </c>
      <c r="B67" t="s">
        <v>68</v>
      </c>
      <c r="C67" t="s">
        <v>31</v>
      </c>
      <c r="D67" t="s">
        <v>47</v>
      </c>
      <c r="E67" t="s">
        <v>25</v>
      </c>
      <c r="F67">
        <v>4</v>
      </c>
      <c r="G67">
        <v>1500</v>
      </c>
      <c r="H67">
        <v>400</v>
      </c>
      <c r="I67">
        <f t="shared" si="4"/>
        <v>6000</v>
      </c>
      <c r="J67" t="str">
        <f t="shared" si="5"/>
        <v>Jun</v>
      </c>
      <c r="K67">
        <f>YEAR(Sales_data[Date])</f>
        <v>2024</v>
      </c>
      <c r="L67" s="1">
        <f>Sales_data[Profit]/Sales_data[Total Sales]</f>
        <v>6.6666666666666666E-2</v>
      </c>
    </row>
    <row r="68" spans="1:12" x14ac:dyDescent="0.35">
      <c r="A68">
        <v>1067</v>
      </c>
      <c r="B68" t="s">
        <v>55</v>
      </c>
      <c r="C68" t="s">
        <v>19</v>
      </c>
      <c r="D68" t="s">
        <v>37</v>
      </c>
      <c r="E68" t="s">
        <v>13</v>
      </c>
      <c r="F68">
        <v>2</v>
      </c>
      <c r="G68">
        <v>2000</v>
      </c>
      <c r="H68">
        <v>450</v>
      </c>
      <c r="I68">
        <f t="shared" si="4"/>
        <v>4000</v>
      </c>
      <c r="J68" t="str">
        <f t="shared" si="5"/>
        <v>Mar</v>
      </c>
      <c r="K68">
        <f>YEAR(Sales_data[Date])</f>
        <v>2024</v>
      </c>
      <c r="L68" s="1">
        <f>Sales_data[Profit]/Sales_data[Total Sales]</f>
        <v>0.1125</v>
      </c>
    </row>
    <row r="69" spans="1:12" x14ac:dyDescent="0.35">
      <c r="A69">
        <v>1068</v>
      </c>
      <c r="B69" t="s">
        <v>81</v>
      </c>
      <c r="C69" t="s">
        <v>31</v>
      </c>
      <c r="D69" t="s">
        <v>47</v>
      </c>
      <c r="E69" t="s">
        <v>25</v>
      </c>
      <c r="F69">
        <v>4</v>
      </c>
      <c r="G69">
        <v>1500</v>
      </c>
      <c r="H69">
        <v>400</v>
      </c>
      <c r="I69">
        <f t="shared" si="4"/>
        <v>6000</v>
      </c>
      <c r="J69" t="str">
        <f t="shared" si="5"/>
        <v>Apr</v>
      </c>
      <c r="K69">
        <f>YEAR(Sales_data[Date])</f>
        <v>2024</v>
      </c>
      <c r="L69" s="1">
        <f>Sales_data[Profit]/Sales_data[Total Sales]</f>
        <v>6.6666666666666666E-2</v>
      </c>
    </row>
    <row r="70" spans="1:12" x14ac:dyDescent="0.35">
      <c r="A70">
        <v>1069</v>
      </c>
      <c r="B70" t="s">
        <v>18</v>
      </c>
      <c r="C70" t="s">
        <v>35</v>
      </c>
      <c r="D70" t="s">
        <v>12</v>
      </c>
      <c r="E70" t="s">
        <v>13</v>
      </c>
      <c r="F70">
        <v>2</v>
      </c>
      <c r="G70">
        <v>2500</v>
      </c>
      <c r="H70">
        <v>500</v>
      </c>
      <c r="I70">
        <f t="shared" si="4"/>
        <v>5000</v>
      </c>
      <c r="J70" t="str">
        <f t="shared" si="5"/>
        <v>Mar</v>
      </c>
      <c r="K70">
        <f>YEAR(Sales_data[Date])</f>
        <v>2024</v>
      </c>
      <c r="L70" s="1">
        <f>Sales_data[Profit]/Sales_data[Total Sales]</f>
        <v>0.1</v>
      </c>
    </row>
    <row r="71" spans="1:12" x14ac:dyDescent="0.35">
      <c r="A71">
        <v>1070</v>
      </c>
      <c r="B71" t="s">
        <v>82</v>
      </c>
      <c r="C71" t="s">
        <v>22</v>
      </c>
      <c r="D71" t="s">
        <v>20</v>
      </c>
      <c r="E71" t="s">
        <v>13</v>
      </c>
      <c r="F71">
        <v>2</v>
      </c>
      <c r="G71">
        <v>800</v>
      </c>
      <c r="H71">
        <v>150</v>
      </c>
      <c r="I71">
        <f t="shared" si="4"/>
        <v>1600</v>
      </c>
      <c r="J71" t="str">
        <f t="shared" si="5"/>
        <v>Jun</v>
      </c>
      <c r="K71">
        <f>YEAR(Sales_data[Date])</f>
        <v>2024</v>
      </c>
      <c r="L71" s="1">
        <f>Sales_data[Profit]/Sales_data[Total Sales]</f>
        <v>9.375E-2</v>
      </c>
    </row>
    <row r="72" spans="1:12" x14ac:dyDescent="0.35">
      <c r="A72">
        <v>1071</v>
      </c>
      <c r="B72" t="s">
        <v>83</v>
      </c>
      <c r="C72" t="s">
        <v>11</v>
      </c>
      <c r="D72" t="s">
        <v>15</v>
      </c>
      <c r="E72" t="s">
        <v>16</v>
      </c>
      <c r="F72">
        <v>5</v>
      </c>
      <c r="G72">
        <v>5000</v>
      </c>
      <c r="H72">
        <v>1000</v>
      </c>
      <c r="I72">
        <f t="shared" si="4"/>
        <v>25000</v>
      </c>
      <c r="J72" t="str">
        <f t="shared" si="5"/>
        <v>Mar</v>
      </c>
      <c r="K72">
        <f>YEAR(Sales_data[Date])</f>
        <v>2024</v>
      </c>
      <c r="L72" s="1">
        <f>Sales_data[Profit]/Sales_data[Total Sales]</f>
        <v>0.04</v>
      </c>
    </row>
    <row r="73" spans="1:12" x14ac:dyDescent="0.35">
      <c r="A73">
        <v>1072</v>
      </c>
      <c r="B73" t="s">
        <v>30</v>
      </c>
      <c r="C73" t="s">
        <v>19</v>
      </c>
      <c r="D73" t="s">
        <v>24</v>
      </c>
      <c r="E73" t="s">
        <v>25</v>
      </c>
      <c r="F73">
        <v>3</v>
      </c>
      <c r="G73">
        <v>20000</v>
      </c>
      <c r="H73">
        <v>3000</v>
      </c>
      <c r="I73">
        <f t="shared" si="4"/>
        <v>60000</v>
      </c>
      <c r="J73" t="str">
        <f t="shared" si="5"/>
        <v>Jan</v>
      </c>
      <c r="K73">
        <f>YEAR(Sales_data[Date])</f>
        <v>2024</v>
      </c>
      <c r="L73" s="1">
        <f>Sales_data[Profit]/Sales_data[Total Sales]</f>
        <v>0.05</v>
      </c>
    </row>
    <row r="74" spans="1:12" x14ac:dyDescent="0.35">
      <c r="A74">
        <v>1073</v>
      </c>
      <c r="B74" t="s">
        <v>84</v>
      </c>
      <c r="C74" t="s">
        <v>19</v>
      </c>
      <c r="D74" t="s">
        <v>37</v>
      </c>
      <c r="E74" t="s">
        <v>13</v>
      </c>
      <c r="F74">
        <v>3</v>
      </c>
      <c r="G74">
        <v>2000</v>
      </c>
      <c r="H74">
        <v>450</v>
      </c>
      <c r="I74">
        <f t="shared" si="4"/>
        <v>6000</v>
      </c>
      <c r="J74" t="str">
        <f t="shared" si="5"/>
        <v>May</v>
      </c>
      <c r="K74">
        <f>YEAR(Sales_data[Date])</f>
        <v>2024</v>
      </c>
      <c r="L74" s="1">
        <f>Sales_data[Profit]/Sales_data[Total Sales]</f>
        <v>7.4999999999999997E-2</v>
      </c>
    </row>
    <row r="75" spans="1:12" x14ac:dyDescent="0.35">
      <c r="A75">
        <v>1074</v>
      </c>
      <c r="B75" t="s">
        <v>85</v>
      </c>
      <c r="C75" t="s">
        <v>33</v>
      </c>
      <c r="D75" t="s">
        <v>29</v>
      </c>
      <c r="E75" t="s">
        <v>16</v>
      </c>
      <c r="F75">
        <v>1</v>
      </c>
      <c r="G75">
        <v>3000</v>
      </c>
      <c r="H75">
        <v>600</v>
      </c>
      <c r="I75">
        <f t="shared" si="4"/>
        <v>3000</v>
      </c>
      <c r="J75" t="str">
        <f t="shared" si="5"/>
        <v>Apr</v>
      </c>
      <c r="K75">
        <f>YEAR(Sales_data[Date])</f>
        <v>2024</v>
      </c>
      <c r="L75" s="1">
        <f>Sales_data[Profit]/Sales_data[Total Sales]</f>
        <v>0.2</v>
      </c>
    </row>
    <row r="76" spans="1:12" x14ac:dyDescent="0.35">
      <c r="A76">
        <v>1075</v>
      </c>
      <c r="B76" t="s">
        <v>86</v>
      </c>
      <c r="C76" t="s">
        <v>11</v>
      </c>
      <c r="D76" t="s">
        <v>15</v>
      </c>
      <c r="E76" t="s">
        <v>16</v>
      </c>
      <c r="F76">
        <v>3</v>
      </c>
      <c r="G76">
        <v>5000</v>
      </c>
      <c r="H76">
        <v>1000</v>
      </c>
      <c r="I76">
        <f t="shared" si="4"/>
        <v>15000</v>
      </c>
      <c r="J76" t="str">
        <f t="shared" si="5"/>
        <v>May</v>
      </c>
      <c r="K76">
        <f>YEAR(Sales_data[Date])</f>
        <v>2024</v>
      </c>
      <c r="L76" s="1">
        <f>Sales_data[Profit]/Sales_data[Total Sales]</f>
        <v>6.6666666666666666E-2</v>
      </c>
    </row>
    <row r="77" spans="1:12" x14ac:dyDescent="0.35">
      <c r="A77">
        <v>1076</v>
      </c>
      <c r="B77" t="s">
        <v>87</v>
      </c>
      <c r="C77" t="s">
        <v>35</v>
      </c>
      <c r="D77" t="s">
        <v>27</v>
      </c>
      <c r="E77" t="s">
        <v>25</v>
      </c>
      <c r="F77">
        <v>5</v>
      </c>
      <c r="G77">
        <v>55000</v>
      </c>
      <c r="H77">
        <v>8000</v>
      </c>
      <c r="I77">
        <f t="shared" si="4"/>
        <v>275000</v>
      </c>
      <c r="J77" t="str">
        <f t="shared" si="5"/>
        <v>Jan</v>
      </c>
      <c r="K77">
        <f>YEAR(Sales_data[Date])</f>
        <v>2024</v>
      </c>
      <c r="L77" s="1">
        <f>Sales_data[Profit]/Sales_data[Total Sales]</f>
        <v>2.9090909090909091E-2</v>
      </c>
    </row>
    <row r="78" spans="1:12" x14ac:dyDescent="0.35">
      <c r="A78">
        <v>1077</v>
      </c>
      <c r="B78" t="s">
        <v>88</v>
      </c>
      <c r="C78" t="s">
        <v>35</v>
      </c>
      <c r="D78" t="s">
        <v>51</v>
      </c>
      <c r="E78" t="s">
        <v>16</v>
      </c>
      <c r="F78">
        <v>3</v>
      </c>
      <c r="G78">
        <v>1500</v>
      </c>
      <c r="H78">
        <v>300</v>
      </c>
      <c r="I78">
        <f t="shared" si="4"/>
        <v>4500</v>
      </c>
      <c r="J78" t="str">
        <f t="shared" si="5"/>
        <v>Apr</v>
      </c>
      <c r="K78">
        <f>YEAR(Sales_data[Date])</f>
        <v>2024</v>
      </c>
      <c r="L78" s="1">
        <f>Sales_data[Profit]/Sales_data[Total Sales]</f>
        <v>6.6666666666666666E-2</v>
      </c>
    </row>
    <row r="79" spans="1:12" x14ac:dyDescent="0.35">
      <c r="A79">
        <v>1078</v>
      </c>
      <c r="B79" t="s">
        <v>89</v>
      </c>
      <c r="C79" t="s">
        <v>19</v>
      </c>
      <c r="D79" t="s">
        <v>24</v>
      </c>
      <c r="E79" t="s">
        <v>25</v>
      </c>
      <c r="F79">
        <v>2</v>
      </c>
      <c r="G79">
        <v>20000</v>
      </c>
      <c r="H79">
        <v>3000</v>
      </c>
      <c r="I79">
        <f t="shared" si="4"/>
        <v>40000</v>
      </c>
      <c r="J79" t="str">
        <f t="shared" si="5"/>
        <v>Jan</v>
      </c>
      <c r="K79">
        <f>YEAR(Sales_data[Date])</f>
        <v>2024</v>
      </c>
      <c r="L79" s="1">
        <f>Sales_data[Profit]/Sales_data[Total Sales]</f>
        <v>7.4999999999999997E-2</v>
      </c>
    </row>
    <row r="80" spans="1:12" x14ac:dyDescent="0.35">
      <c r="A80">
        <v>1079</v>
      </c>
      <c r="B80" t="s">
        <v>90</v>
      </c>
      <c r="C80" t="s">
        <v>35</v>
      </c>
      <c r="D80" t="s">
        <v>51</v>
      </c>
      <c r="E80" t="s">
        <v>16</v>
      </c>
      <c r="F80">
        <v>1</v>
      </c>
      <c r="G80">
        <v>1500</v>
      </c>
      <c r="H80">
        <v>300</v>
      </c>
      <c r="I80">
        <f t="shared" si="4"/>
        <v>1500</v>
      </c>
      <c r="J80" t="str">
        <f t="shared" si="5"/>
        <v>May</v>
      </c>
      <c r="K80">
        <f>YEAR(Sales_data[Date])</f>
        <v>2024</v>
      </c>
      <c r="L80" s="1">
        <f>Sales_data[Profit]/Sales_data[Total Sales]</f>
        <v>0.2</v>
      </c>
    </row>
    <row r="81" spans="1:12" x14ac:dyDescent="0.35">
      <c r="A81">
        <v>1080</v>
      </c>
      <c r="B81" t="s">
        <v>21</v>
      </c>
      <c r="C81" t="s">
        <v>35</v>
      </c>
      <c r="D81" t="s">
        <v>24</v>
      </c>
      <c r="E81" t="s">
        <v>25</v>
      </c>
      <c r="F81">
        <v>1</v>
      </c>
      <c r="G81">
        <v>20000</v>
      </c>
      <c r="H81">
        <v>3000</v>
      </c>
      <c r="I81">
        <f t="shared" si="4"/>
        <v>20000</v>
      </c>
      <c r="J81" t="str">
        <f t="shared" si="5"/>
        <v>Feb</v>
      </c>
      <c r="K81">
        <f>YEAR(Sales_data[Date])</f>
        <v>2024</v>
      </c>
      <c r="L81" s="1">
        <f>Sales_data[Profit]/Sales_data[Total Sales]</f>
        <v>0.15</v>
      </c>
    </row>
    <row r="82" spans="1:12" x14ac:dyDescent="0.35">
      <c r="A82">
        <v>1081</v>
      </c>
      <c r="B82" t="s">
        <v>91</v>
      </c>
      <c r="C82" t="s">
        <v>11</v>
      </c>
      <c r="D82" t="s">
        <v>15</v>
      </c>
      <c r="E82" t="s">
        <v>16</v>
      </c>
      <c r="F82">
        <v>4</v>
      </c>
      <c r="G82">
        <v>5000</v>
      </c>
      <c r="H82">
        <v>1000</v>
      </c>
      <c r="I82">
        <f t="shared" si="4"/>
        <v>20000</v>
      </c>
      <c r="J82" t="str">
        <f t="shared" si="5"/>
        <v>Jan</v>
      </c>
      <c r="K82">
        <f>YEAR(Sales_data[Date])</f>
        <v>2024</v>
      </c>
      <c r="L82" s="1">
        <f>Sales_data[Profit]/Sales_data[Total Sales]</f>
        <v>0.05</v>
      </c>
    </row>
    <row r="83" spans="1:12" x14ac:dyDescent="0.35">
      <c r="A83">
        <v>1082</v>
      </c>
      <c r="B83" t="s">
        <v>54</v>
      </c>
      <c r="C83" t="s">
        <v>19</v>
      </c>
      <c r="D83" t="s">
        <v>20</v>
      </c>
      <c r="E83" t="s">
        <v>13</v>
      </c>
      <c r="F83">
        <v>2</v>
      </c>
      <c r="G83">
        <v>800</v>
      </c>
      <c r="H83">
        <v>150</v>
      </c>
      <c r="I83">
        <f t="shared" si="4"/>
        <v>1600</v>
      </c>
      <c r="J83" t="str">
        <f t="shared" si="5"/>
        <v>Mar</v>
      </c>
      <c r="K83">
        <f>YEAR(Sales_data[Date])</f>
        <v>2024</v>
      </c>
      <c r="L83" s="1">
        <f>Sales_data[Profit]/Sales_data[Total Sales]</f>
        <v>9.375E-2</v>
      </c>
    </row>
    <row r="84" spans="1:12" x14ac:dyDescent="0.35">
      <c r="A84">
        <v>1083</v>
      </c>
      <c r="B84" t="s">
        <v>50</v>
      </c>
      <c r="C84" t="s">
        <v>19</v>
      </c>
      <c r="D84" t="s">
        <v>47</v>
      </c>
      <c r="E84" t="s">
        <v>25</v>
      </c>
      <c r="F84">
        <v>2</v>
      </c>
      <c r="G84">
        <v>1500</v>
      </c>
      <c r="H84">
        <v>400</v>
      </c>
      <c r="I84">
        <f t="shared" si="4"/>
        <v>3000</v>
      </c>
      <c r="J84" t="str">
        <f t="shared" si="5"/>
        <v>May</v>
      </c>
      <c r="K84">
        <f>YEAR(Sales_data[Date])</f>
        <v>2024</v>
      </c>
      <c r="L84" s="1">
        <f>Sales_data[Profit]/Sales_data[Total Sales]</f>
        <v>0.13333333333333333</v>
      </c>
    </row>
    <row r="85" spans="1:12" x14ac:dyDescent="0.35">
      <c r="A85">
        <v>1084</v>
      </c>
      <c r="B85" t="s">
        <v>92</v>
      </c>
      <c r="C85" t="s">
        <v>19</v>
      </c>
      <c r="D85" t="s">
        <v>24</v>
      </c>
      <c r="E85" t="s">
        <v>25</v>
      </c>
      <c r="F85">
        <v>5</v>
      </c>
      <c r="G85">
        <v>20000</v>
      </c>
      <c r="H85">
        <v>3000</v>
      </c>
      <c r="I85">
        <f t="shared" si="4"/>
        <v>100000</v>
      </c>
      <c r="J85" t="str">
        <f t="shared" si="5"/>
        <v>Mar</v>
      </c>
      <c r="K85">
        <f>YEAR(Sales_data[Date])</f>
        <v>2024</v>
      </c>
      <c r="L85" s="1">
        <f>Sales_data[Profit]/Sales_data[Total Sales]</f>
        <v>0.03</v>
      </c>
    </row>
    <row r="86" spans="1:12" x14ac:dyDescent="0.35">
      <c r="A86">
        <v>1085</v>
      </c>
      <c r="B86" t="s">
        <v>93</v>
      </c>
      <c r="C86" t="s">
        <v>33</v>
      </c>
      <c r="D86" t="s">
        <v>20</v>
      </c>
      <c r="E86" t="s">
        <v>13</v>
      </c>
      <c r="F86">
        <v>4</v>
      </c>
      <c r="G86">
        <v>800</v>
      </c>
      <c r="H86">
        <v>150</v>
      </c>
      <c r="I86">
        <f t="shared" si="4"/>
        <v>3200</v>
      </c>
      <c r="J86" t="str">
        <f t="shared" si="5"/>
        <v>Jun</v>
      </c>
      <c r="K86">
        <f>YEAR(Sales_data[Date])</f>
        <v>2024</v>
      </c>
      <c r="L86" s="1">
        <f>Sales_data[Profit]/Sales_data[Total Sales]</f>
        <v>4.6875E-2</v>
      </c>
    </row>
    <row r="87" spans="1:12" x14ac:dyDescent="0.35">
      <c r="A87">
        <v>1086</v>
      </c>
      <c r="B87" t="s">
        <v>54</v>
      </c>
      <c r="C87" t="s">
        <v>22</v>
      </c>
      <c r="D87" t="s">
        <v>20</v>
      </c>
      <c r="E87" t="s">
        <v>13</v>
      </c>
      <c r="F87">
        <v>4</v>
      </c>
      <c r="G87">
        <v>800</v>
      </c>
      <c r="H87">
        <v>150</v>
      </c>
      <c r="I87">
        <f t="shared" si="4"/>
        <v>3200</v>
      </c>
      <c r="J87" t="str">
        <f t="shared" si="5"/>
        <v>Mar</v>
      </c>
      <c r="K87">
        <f>YEAR(Sales_data[Date])</f>
        <v>2024</v>
      </c>
      <c r="L87" s="1">
        <f>Sales_data[Profit]/Sales_data[Total Sales]</f>
        <v>4.6875E-2</v>
      </c>
    </row>
    <row r="88" spans="1:12" x14ac:dyDescent="0.35">
      <c r="A88">
        <v>1087</v>
      </c>
      <c r="B88" t="s">
        <v>94</v>
      </c>
      <c r="C88" t="s">
        <v>19</v>
      </c>
      <c r="D88" t="s">
        <v>47</v>
      </c>
      <c r="E88" t="s">
        <v>25</v>
      </c>
      <c r="F88">
        <v>5</v>
      </c>
      <c r="G88">
        <v>1500</v>
      </c>
      <c r="H88">
        <v>400</v>
      </c>
      <c r="I88">
        <f t="shared" si="4"/>
        <v>7500</v>
      </c>
      <c r="J88" t="str">
        <f t="shared" si="5"/>
        <v>Mar</v>
      </c>
      <c r="K88">
        <f>YEAR(Sales_data[Date])</f>
        <v>2024</v>
      </c>
      <c r="L88" s="1">
        <f>Sales_data[Profit]/Sales_data[Total Sales]</f>
        <v>5.3333333333333337E-2</v>
      </c>
    </row>
    <row r="89" spans="1:12" x14ac:dyDescent="0.35">
      <c r="A89">
        <v>1088</v>
      </c>
      <c r="B89" t="s">
        <v>95</v>
      </c>
      <c r="C89" t="s">
        <v>35</v>
      </c>
      <c r="D89" t="s">
        <v>20</v>
      </c>
      <c r="E89" t="s">
        <v>13</v>
      </c>
      <c r="F89">
        <v>4</v>
      </c>
      <c r="G89">
        <v>800</v>
      </c>
      <c r="H89">
        <v>150</v>
      </c>
      <c r="I89">
        <f t="shared" si="4"/>
        <v>3200</v>
      </c>
      <c r="J89" t="str">
        <f t="shared" si="5"/>
        <v>Feb</v>
      </c>
      <c r="K89">
        <f>YEAR(Sales_data[Date])</f>
        <v>2024</v>
      </c>
      <c r="L89" s="1">
        <f>Sales_data[Profit]/Sales_data[Total Sales]</f>
        <v>4.6875E-2</v>
      </c>
    </row>
    <row r="90" spans="1:12" x14ac:dyDescent="0.35">
      <c r="A90">
        <v>1089</v>
      </c>
      <c r="B90" t="s">
        <v>96</v>
      </c>
      <c r="C90" t="s">
        <v>19</v>
      </c>
      <c r="D90" t="s">
        <v>20</v>
      </c>
      <c r="E90" t="s">
        <v>13</v>
      </c>
      <c r="F90">
        <v>4</v>
      </c>
      <c r="G90">
        <v>800</v>
      </c>
      <c r="H90">
        <v>150</v>
      </c>
      <c r="I90">
        <f t="shared" si="4"/>
        <v>3200</v>
      </c>
      <c r="J90" t="str">
        <f t="shared" si="5"/>
        <v>Feb</v>
      </c>
      <c r="K90">
        <f>YEAR(Sales_data[Date])</f>
        <v>2024</v>
      </c>
      <c r="L90" s="1">
        <f>Sales_data[Profit]/Sales_data[Total Sales]</f>
        <v>4.6875E-2</v>
      </c>
    </row>
    <row r="91" spans="1:12" x14ac:dyDescent="0.35">
      <c r="A91">
        <v>1090</v>
      </c>
      <c r="B91" t="s">
        <v>97</v>
      </c>
      <c r="C91" t="s">
        <v>19</v>
      </c>
      <c r="D91" t="s">
        <v>37</v>
      </c>
      <c r="E91" t="s">
        <v>13</v>
      </c>
      <c r="F91">
        <v>5</v>
      </c>
      <c r="G91">
        <v>2000</v>
      </c>
      <c r="H91">
        <v>450</v>
      </c>
      <c r="I91">
        <f t="shared" si="4"/>
        <v>10000</v>
      </c>
      <c r="J91" t="str">
        <f t="shared" si="5"/>
        <v>May</v>
      </c>
      <c r="K91">
        <f>YEAR(Sales_data[Date])</f>
        <v>2024</v>
      </c>
      <c r="L91" s="1">
        <f>Sales_data[Profit]/Sales_data[Total Sales]</f>
        <v>4.4999999999999998E-2</v>
      </c>
    </row>
    <row r="92" spans="1:12" x14ac:dyDescent="0.35">
      <c r="A92">
        <v>1091</v>
      </c>
      <c r="B92" t="s">
        <v>97</v>
      </c>
      <c r="C92" t="s">
        <v>35</v>
      </c>
      <c r="D92" t="s">
        <v>12</v>
      </c>
      <c r="E92" t="s">
        <v>13</v>
      </c>
      <c r="F92">
        <v>1</v>
      </c>
      <c r="G92">
        <v>2500</v>
      </c>
      <c r="H92">
        <v>500</v>
      </c>
      <c r="I92">
        <f t="shared" si="4"/>
        <v>2500</v>
      </c>
      <c r="J92" t="str">
        <f t="shared" si="5"/>
        <v>May</v>
      </c>
      <c r="K92">
        <f>YEAR(Sales_data[Date])</f>
        <v>2024</v>
      </c>
      <c r="L92" s="1">
        <f>Sales_data[Profit]/Sales_data[Total Sales]</f>
        <v>0.2</v>
      </c>
    </row>
    <row r="93" spans="1:12" x14ac:dyDescent="0.35">
      <c r="A93">
        <v>1092</v>
      </c>
      <c r="B93" t="s">
        <v>98</v>
      </c>
      <c r="C93" t="s">
        <v>33</v>
      </c>
      <c r="D93" t="s">
        <v>27</v>
      </c>
      <c r="E93" t="s">
        <v>25</v>
      </c>
      <c r="F93">
        <v>1</v>
      </c>
      <c r="G93">
        <v>55000</v>
      </c>
      <c r="H93">
        <v>8000</v>
      </c>
      <c r="I93">
        <f t="shared" si="4"/>
        <v>55000</v>
      </c>
      <c r="J93" t="str">
        <f t="shared" si="5"/>
        <v>Apr</v>
      </c>
      <c r="K93">
        <f>YEAR(Sales_data[Date])</f>
        <v>2024</v>
      </c>
      <c r="L93" s="1">
        <f>Sales_data[Profit]/Sales_data[Total Sales]</f>
        <v>0.14545454545454545</v>
      </c>
    </row>
    <row r="94" spans="1:12" x14ac:dyDescent="0.35">
      <c r="A94">
        <v>1093</v>
      </c>
      <c r="B94" t="s">
        <v>99</v>
      </c>
      <c r="C94" t="s">
        <v>33</v>
      </c>
      <c r="D94" t="s">
        <v>20</v>
      </c>
      <c r="E94" t="s">
        <v>13</v>
      </c>
      <c r="F94">
        <v>2</v>
      </c>
      <c r="G94">
        <v>800</v>
      </c>
      <c r="H94">
        <v>150</v>
      </c>
      <c r="I94">
        <f t="shared" si="4"/>
        <v>1600</v>
      </c>
      <c r="J94" t="str">
        <f t="shared" si="5"/>
        <v>Feb</v>
      </c>
      <c r="K94">
        <f>YEAR(Sales_data[Date])</f>
        <v>2024</v>
      </c>
      <c r="L94" s="1">
        <f>Sales_data[Profit]/Sales_data[Total Sales]</f>
        <v>9.375E-2</v>
      </c>
    </row>
    <row r="95" spans="1:12" x14ac:dyDescent="0.35">
      <c r="A95">
        <v>1094</v>
      </c>
      <c r="B95" t="s">
        <v>100</v>
      </c>
      <c r="C95" t="s">
        <v>35</v>
      </c>
      <c r="D95" t="s">
        <v>47</v>
      </c>
      <c r="E95" t="s">
        <v>25</v>
      </c>
      <c r="F95">
        <v>4</v>
      </c>
      <c r="G95">
        <v>1500</v>
      </c>
      <c r="H95">
        <v>400</v>
      </c>
      <c r="I95">
        <f t="shared" si="4"/>
        <v>6000</v>
      </c>
      <c r="J95" t="str">
        <f t="shared" si="5"/>
        <v>Apr</v>
      </c>
      <c r="K95">
        <f>YEAR(Sales_data[Date])</f>
        <v>2024</v>
      </c>
      <c r="L95" s="1">
        <f>Sales_data[Profit]/Sales_data[Total Sales]</f>
        <v>6.6666666666666666E-2</v>
      </c>
    </row>
    <row r="96" spans="1:12" x14ac:dyDescent="0.35">
      <c r="A96">
        <v>1095</v>
      </c>
      <c r="B96" t="s">
        <v>32</v>
      </c>
      <c r="C96" t="s">
        <v>35</v>
      </c>
      <c r="D96" t="s">
        <v>51</v>
      </c>
      <c r="E96" t="s">
        <v>16</v>
      </c>
      <c r="F96">
        <v>3</v>
      </c>
      <c r="G96">
        <v>1500</v>
      </c>
      <c r="H96">
        <v>300</v>
      </c>
      <c r="I96">
        <f t="shared" si="4"/>
        <v>4500</v>
      </c>
      <c r="J96" t="str">
        <f t="shared" si="5"/>
        <v>Jan</v>
      </c>
      <c r="K96">
        <f>YEAR(Sales_data[Date])</f>
        <v>2024</v>
      </c>
      <c r="L96" s="1">
        <f>Sales_data[Profit]/Sales_data[Total Sales]</f>
        <v>6.6666666666666666E-2</v>
      </c>
    </row>
    <row r="97" spans="1:12" x14ac:dyDescent="0.35">
      <c r="A97">
        <v>1096</v>
      </c>
      <c r="B97" t="s">
        <v>101</v>
      </c>
      <c r="C97" t="s">
        <v>31</v>
      </c>
      <c r="D97" t="s">
        <v>24</v>
      </c>
      <c r="E97" t="s">
        <v>25</v>
      </c>
      <c r="F97">
        <v>1</v>
      </c>
      <c r="G97">
        <v>20000</v>
      </c>
      <c r="H97">
        <v>3000</v>
      </c>
      <c r="I97">
        <f t="shared" si="4"/>
        <v>20000</v>
      </c>
      <c r="J97" t="str">
        <f t="shared" si="5"/>
        <v>Apr</v>
      </c>
      <c r="K97">
        <f>YEAR(Sales_data[Date])</f>
        <v>2024</v>
      </c>
      <c r="L97" s="1">
        <f>Sales_data[Profit]/Sales_data[Total Sales]</f>
        <v>0.15</v>
      </c>
    </row>
    <row r="98" spans="1:12" x14ac:dyDescent="0.35">
      <c r="A98">
        <v>1097</v>
      </c>
      <c r="B98" t="s">
        <v>102</v>
      </c>
      <c r="C98" t="s">
        <v>33</v>
      </c>
      <c r="D98" t="s">
        <v>27</v>
      </c>
      <c r="E98" t="s">
        <v>25</v>
      </c>
      <c r="F98">
        <v>2</v>
      </c>
      <c r="G98">
        <v>55000</v>
      </c>
      <c r="H98">
        <v>8000</v>
      </c>
      <c r="I98">
        <f t="shared" si="4"/>
        <v>110000</v>
      </c>
      <c r="J98" t="str">
        <f t="shared" si="5"/>
        <v>Jun</v>
      </c>
      <c r="K98">
        <f>YEAR(Sales_data[Date])</f>
        <v>2024</v>
      </c>
      <c r="L98" s="1">
        <f>Sales_data[Profit]/Sales_data[Total Sales]</f>
        <v>7.2727272727272724E-2</v>
      </c>
    </row>
    <row r="99" spans="1:12" x14ac:dyDescent="0.35">
      <c r="A99">
        <v>1098</v>
      </c>
      <c r="B99" t="s">
        <v>103</v>
      </c>
      <c r="C99" t="s">
        <v>31</v>
      </c>
      <c r="D99" t="s">
        <v>47</v>
      </c>
      <c r="E99" t="s">
        <v>25</v>
      </c>
      <c r="F99">
        <v>1</v>
      </c>
      <c r="G99">
        <v>1500</v>
      </c>
      <c r="H99">
        <v>400</v>
      </c>
      <c r="I99">
        <f t="shared" si="4"/>
        <v>1500</v>
      </c>
      <c r="J99" t="str">
        <f t="shared" si="5"/>
        <v>Jan</v>
      </c>
      <c r="K99">
        <f>YEAR(Sales_data[Date])</f>
        <v>2024</v>
      </c>
      <c r="L99" s="1">
        <f>Sales_data[Profit]/Sales_data[Total Sales]</f>
        <v>0.26666666666666666</v>
      </c>
    </row>
    <row r="100" spans="1:12" x14ac:dyDescent="0.35">
      <c r="A100">
        <v>1099</v>
      </c>
      <c r="B100" t="s">
        <v>89</v>
      </c>
      <c r="C100" t="s">
        <v>31</v>
      </c>
      <c r="D100" t="s">
        <v>29</v>
      </c>
      <c r="E100" t="s">
        <v>16</v>
      </c>
      <c r="F100">
        <v>2</v>
      </c>
      <c r="G100">
        <v>3000</v>
      </c>
      <c r="H100">
        <v>600</v>
      </c>
      <c r="I100">
        <f t="shared" si="4"/>
        <v>6000</v>
      </c>
      <c r="J100" t="str">
        <f t="shared" si="5"/>
        <v>Jan</v>
      </c>
      <c r="K100">
        <f>YEAR(Sales_data[Date])</f>
        <v>2024</v>
      </c>
      <c r="L100" s="1">
        <f>Sales_data[Profit]/Sales_data[Total Sales]</f>
        <v>0.1</v>
      </c>
    </row>
    <row r="101" spans="1:12" x14ac:dyDescent="0.35">
      <c r="A101">
        <v>1100</v>
      </c>
      <c r="B101" t="s">
        <v>104</v>
      </c>
      <c r="C101" t="s">
        <v>19</v>
      </c>
      <c r="D101" t="s">
        <v>24</v>
      </c>
      <c r="E101" t="s">
        <v>25</v>
      </c>
      <c r="F101">
        <v>2</v>
      </c>
      <c r="G101">
        <v>20000</v>
      </c>
      <c r="H101">
        <v>3000</v>
      </c>
      <c r="I101">
        <f t="shared" si="4"/>
        <v>40000</v>
      </c>
      <c r="J101" t="str">
        <f t="shared" si="5"/>
        <v>Apr</v>
      </c>
      <c r="K101">
        <f>YEAR(Sales_data[Date])</f>
        <v>2024</v>
      </c>
      <c r="L101" s="1">
        <f>Sales_data[Profit]/Sales_data[Total Sales]</f>
        <v>7.4999999999999997E-2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2026-02-19T17:01:14Z</dcterms:created>
  <dcterms:modified xsi:type="dcterms:W3CDTF">2026-02-27T14:55:31Z</dcterms:modified>
</cp:coreProperties>
</file>